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 Industries\Documents\"/>
    </mc:Choice>
  </mc:AlternateContent>
  <xr:revisionPtr revIDLastSave="0" documentId="8_{61ECB2B4-2E82-410A-9302-C26045E9EB58}" xr6:coauthVersionLast="47" xr6:coauthVersionMax="47" xr10:uidLastSave="{00000000-0000-0000-0000-000000000000}"/>
  <bookViews>
    <workbookView xWindow="-120" yWindow="-120" windowWidth="20730" windowHeight="11160" activeTab="3" xr2:uid="{529FDFFA-89C9-42CE-AEC3-6A69CC474421}"/>
  </bookViews>
  <sheets>
    <sheet name="Customer Receivables" sheetId="2" r:id="rId1"/>
    <sheet name="Vendor Balances" sheetId="3" r:id="rId2"/>
    <sheet name="Machines and Molds" sheetId="4" r:id="rId3"/>
    <sheet name="Stock Position" sheetId="1" r:id="rId4"/>
  </sheets>
  <definedNames>
    <definedName name="_xlnm._FilterDatabase" localSheetId="0" hidden="1">'Customer Receivables'!$B$2:$E$113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8" i="1" l="1"/>
  <c r="G79" i="1"/>
  <c r="G80" i="1"/>
  <c r="G81" i="1"/>
  <c r="G82" i="1"/>
  <c r="G83" i="1"/>
  <c r="G84" i="1"/>
  <c r="G85" i="1"/>
  <c r="G86" i="1"/>
  <c r="G87" i="1"/>
  <c r="G88" i="1"/>
  <c r="G89" i="1"/>
  <c r="J18" i="4"/>
  <c r="J17" i="4"/>
  <c r="J16" i="4"/>
  <c r="J15" i="4"/>
  <c r="J14" i="4"/>
  <c r="J13" i="4"/>
  <c r="J12" i="4"/>
  <c r="J11" i="4"/>
  <c r="J10" i="4"/>
  <c r="J9" i="4"/>
  <c r="J8" i="4"/>
  <c r="J7" i="4"/>
  <c r="E30" i="3"/>
  <c r="E113" i="2"/>
  <c r="N116" i="1"/>
  <c r="N115" i="1"/>
  <c r="N114" i="1"/>
  <c r="N113" i="1"/>
  <c r="N112" i="1"/>
  <c r="N108" i="1"/>
  <c r="N107" i="1"/>
  <c r="N106" i="1"/>
  <c r="N105" i="1"/>
  <c r="N104" i="1"/>
  <c r="N103" i="1"/>
  <c r="N102" i="1"/>
  <c r="N101" i="1"/>
  <c r="N97" i="1"/>
  <c r="G97" i="1"/>
  <c r="N96" i="1"/>
  <c r="G96" i="1"/>
  <c r="N95" i="1"/>
  <c r="G95" i="1"/>
  <c r="N94" i="1"/>
  <c r="G94" i="1"/>
  <c r="G98" i="1" s="1"/>
  <c r="N93" i="1"/>
  <c r="N98" i="1" s="1"/>
  <c r="N89" i="1"/>
  <c r="N88" i="1"/>
  <c r="N90" i="1" s="1"/>
  <c r="N84" i="1"/>
  <c r="N83" i="1"/>
  <c r="N82" i="1"/>
  <c r="N78" i="1"/>
  <c r="N77" i="1"/>
  <c r="G77" i="1"/>
  <c r="N76" i="1"/>
  <c r="G76" i="1"/>
  <c r="N75" i="1"/>
  <c r="G75" i="1"/>
  <c r="G74" i="1"/>
  <c r="N70" i="1"/>
  <c r="N71" i="1" s="1"/>
  <c r="D70" i="1"/>
  <c r="N69" i="1"/>
  <c r="G69" i="1"/>
  <c r="E69" i="1"/>
  <c r="E68" i="1"/>
  <c r="G68" i="1" s="1"/>
  <c r="G67" i="1"/>
  <c r="E67" i="1"/>
  <c r="E66" i="1"/>
  <c r="G66" i="1" s="1"/>
  <c r="N65" i="1"/>
  <c r="E65" i="1"/>
  <c r="G65" i="1" s="1"/>
  <c r="N64" i="1"/>
  <c r="E64" i="1"/>
  <c r="G64" i="1" s="1"/>
  <c r="N63" i="1"/>
  <c r="E63" i="1"/>
  <c r="G63" i="1" s="1"/>
  <c r="N62" i="1"/>
  <c r="G62" i="1"/>
  <c r="E62" i="1"/>
  <c r="N61" i="1"/>
  <c r="E61" i="1"/>
  <c r="G61" i="1" s="1"/>
  <c r="N60" i="1"/>
  <c r="E60" i="1"/>
  <c r="G60" i="1" s="1"/>
  <c r="E59" i="1"/>
  <c r="G59" i="1" s="1"/>
  <c r="E58" i="1"/>
  <c r="G58" i="1" s="1"/>
  <c r="E57" i="1"/>
  <c r="G57" i="1" s="1"/>
  <c r="E56" i="1"/>
  <c r="G56" i="1" s="1"/>
  <c r="E55" i="1"/>
  <c r="G55" i="1" s="1"/>
  <c r="E54" i="1"/>
  <c r="G54" i="1" s="1"/>
  <c r="G53" i="1"/>
  <c r="E53" i="1"/>
  <c r="E52" i="1"/>
  <c r="G52" i="1" s="1"/>
  <c r="E51" i="1"/>
  <c r="G51" i="1" s="1"/>
  <c r="E50" i="1"/>
  <c r="G50" i="1" s="1"/>
  <c r="G49" i="1"/>
  <c r="E49" i="1"/>
  <c r="E48" i="1"/>
  <c r="G48" i="1" s="1"/>
  <c r="G47" i="1"/>
  <c r="E47" i="1"/>
  <c r="E46" i="1"/>
  <c r="G46" i="1" s="1"/>
  <c r="E45" i="1"/>
  <c r="G45" i="1" s="1"/>
  <c r="E44" i="1"/>
  <c r="G44" i="1" s="1"/>
  <c r="E43" i="1"/>
  <c r="G43" i="1" s="1"/>
  <c r="E42" i="1"/>
  <c r="G42" i="1" s="1"/>
  <c r="G41" i="1"/>
  <c r="E41" i="1"/>
  <c r="E40" i="1"/>
  <c r="G40" i="1" s="1"/>
  <c r="E39" i="1"/>
  <c r="G39" i="1" s="1"/>
  <c r="E38" i="1"/>
  <c r="G38" i="1" s="1"/>
  <c r="E37" i="1"/>
  <c r="G37" i="1" s="1"/>
  <c r="E36" i="1"/>
  <c r="G36" i="1" s="1"/>
  <c r="E35" i="1"/>
  <c r="G35" i="1" s="1"/>
  <c r="E34" i="1"/>
  <c r="G34" i="1" s="1"/>
  <c r="G33" i="1"/>
  <c r="E33" i="1"/>
  <c r="G32" i="1"/>
  <c r="E31" i="1"/>
  <c r="G31" i="1" s="1"/>
  <c r="E30" i="1"/>
  <c r="G30" i="1" s="1"/>
  <c r="E29" i="1"/>
  <c r="G29" i="1" s="1"/>
  <c r="E28" i="1"/>
  <c r="G28" i="1" s="1"/>
  <c r="G27" i="1"/>
  <c r="E27" i="1"/>
  <c r="E26" i="1"/>
  <c r="G26" i="1" s="1"/>
  <c r="G25" i="1"/>
  <c r="E25" i="1"/>
  <c r="E24" i="1"/>
  <c r="G24" i="1" s="1"/>
  <c r="E23" i="1"/>
  <c r="G23" i="1" s="1"/>
  <c r="E22" i="1"/>
  <c r="G22" i="1" s="1"/>
  <c r="E21" i="1"/>
  <c r="G21" i="1" s="1"/>
  <c r="E20" i="1"/>
  <c r="G20" i="1" s="1"/>
  <c r="G19" i="1"/>
  <c r="E19" i="1"/>
  <c r="E18" i="1"/>
  <c r="G18" i="1" s="1"/>
  <c r="G17" i="1"/>
  <c r="E17" i="1"/>
  <c r="E16" i="1"/>
  <c r="G16" i="1" s="1"/>
  <c r="E15" i="1"/>
  <c r="E70" i="1" s="1"/>
  <c r="G10" i="1"/>
  <c r="G9" i="1"/>
  <c r="G8" i="1"/>
  <c r="G7" i="1"/>
  <c r="G6" i="1"/>
  <c r="G5" i="1"/>
  <c r="G4" i="1"/>
  <c r="N117" i="1" l="1"/>
  <c r="N109" i="1"/>
  <c r="N66" i="1"/>
  <c r="N85" i="1"/>
  <c r="N79" i="1"/>
  <c r="G15" i="1"/>
  <c r="G11" i="1"/>
  <c r="J19" i="4"/>
  <c r="E33" i="4" s="1"/>
  <c r="E42" i="4" s="1"/>
  <c r="G70" i="1"/>
  <c r="G90" i="1"/>
  <c r="G101" i="1" l="1"/>
</calcChain>
</file>

<file path=xl/sharedStrings.xml><?xml version="1.0" encoding="utf-8"?>
<sst xmlns="http://schemas.openxmlformats.org/spreadsheetml/2006/main" count="585" uniqueCount="358">
  <si>
    <t>Balance as of 31st March</t>
  </si>
  <si>
    <t>Balance as of 31st December</t>
  </si>
  <si>
    <t>Description</t>
  </si>
  <si>
    <t>No. of Bags</t>
  </si>
  <si>
    <t>No. of Kilos</t>
  </si>
  <si>
    <t>Rate</t>
  </si>
  <si>
    <t>Value of Stock</t>
  </si>
  <si>
    <t>Black Foam</t>
  </si>
  <si>
    <t>Colored Foam</t>
  </si>
  <si>
    <t>Naali</t>
  </si>
  <si>
    <t>Pearl</t>
  </si>
  <si>
    <t>Sole</t>
  </si>
  <si>
    <t>Calcium</t>
  </si>
  <si>
    <t>Resin</t>
  </si>
  <si>
    <t>Short PC</t>
  </si>
  <si>
    <t>Ready Stock</t>
  </si>
  <si>
    <t>Article</t>
  </si>
  <si>
    <t>Size</t>
  </si>
  <si>
    <t>No. of Dozens</t>
  </si>
  <si>
    <t>No. of Pairs</t>
  </si>
  <si>
    <t>Cost per Pair</t>
  </si>
  <si>
    <t>PP - 7</t>
  </si>
  <si>
    <t>11 to 12</t>
  </si>
  <si>
    <t>7 to 10</t>
  </si>
  <si>
    <t>4 to 6</t>
  </si>
  <si>
    <t>1 to 3</t>
  </si>
  <si>
    <t>CP - 2</t>
  </si>
  <si>
    <t>CP - 201</t>
  </si>
  <si>
    <t>CP - 20</t>
  </si>
  <si>
    <t>CP - 21</t>
  </si>
  <si>
    <t>CP - 12</t>
  </si>
  <si>
    <t>6 to 9</t>
  </si>
  <si>
    <t>CP - 13</t>
  </si>
  <si>
    <t>CP - 14</t>
  </si>
  <si>
    <t>CP - 15</t>
  </si>
  <si>
    <t>CP - 10</t>
  </si>
  <si>
    <t>CP - 60</t>
  </si>
  <si>
    <t>CP - 61</t>
  </si>
  <si>
    <t>CP - 62</t>
  </si>
  <si>
    <t>CP - 11</t>
  </si>
  <si>
    <t>CP - 16</t>
  </si>
  <si>
    <t>CP - 27</t>
  </si>
  <si>
    <t>CP - 30</t>
  </si>
  <si>
    <t>CP - 33</t>
  </si>
  <si>
    <t>CP - 3301</t>
  </si>
  <si>
    <t>CP - 34</t>
  </si>
  <si>
    <t>CP - 35</t>
  </si>
  <si>
    <t>CP - 36</t>
  </si>
  <si>
    <t>CP - 37</t>
  </si>
  <si>
    <t>CP - 40</t>
  </si>
  <si>
    <t>CP - 55</t>
  </si>
  <si>
    <t>CP - 56</t>
  </si>
  <si>
    <t>CP - 57</t>
  </si>
  <si>
    <t>Silver Moccasin</t>
  </si>
  <si>
    <t>11 to 13</t>
  </si>
  <si>
    <t>Louis Vuitton - X</t>
  </si>
  <si>
    <t>CP - 06 (Silver)</t>
  </si>
  <si>
    <t>CP - Babloo</t>
  </si>
  <si>
    <t>5 to 10</t>
  </si>
  <si>
    <t>CPKids - 501</t>
  </si>
  <si>
    <t>15 to 19</t>
  </si>
  <si>
    <t>CPKids - 502</t>
  </si>
  <si>
    <t>Ready Patawa</t>
  </si>
  <si>
    <t>No. of Dzn</t>
  </si>
  <si>
    <t>Amount</t>
  </si>
  <si>
    <t>CPKids - 503</t>
  </si>
  <si>
    <t>14 to 19</t>
  </si>
  <si>
    <t>CP-12</t>
  </si>
  <si>
    <t>CPKids - 505</t>
  </si>
  <si>
    <t>26 to 30</t>
  </si>
  <si>
    <t>CP-13</t>
  </si>
  <si>
    <t>CPKids - 507</t>
  </si>
  <si>
    <t>24 to 29</t>
  </si>
  <si>
    <t>CP-14</t>
  </si>
  <si>
    <t>CPKids - 509</t>
  </si>
  <si>
    <t>24 to 30</t>
  </si>
  <si>
    <t>CP-15</t>
  </si>
  <si>
    <t>CP - 70</t>
  </si>
  <si>
    <t>CP-16</t>
  </si>
  <si>
    <t>CP - 72</t>
  </si>
  <si>
    <t>Gents Burmi</t>
  </si>
  <si>
    <t>CP - 74</t>
  </si>
  <si>
    <t>TOTAL</t>
  </si>
  <si>
    <t>CP - 01</t>
  </si>
  <si>
    <t>CP - 64</t>
  </si>
  <si>
    <t>7 to 9</t>
  </si>
  <si>
    <t>Buttons/Ties</t>
  </si>
  <si>
    <t>CP - 65</t>
  </si>
  <si>
    <t>CP-27 Tie</t>
  </si>
  <si>
    <t>9 No.</t>
  </si>
  <si>
    <t>Chemicals</t>
  </si>
  <si>
    <t>AC</t>
  </si>
  <si>
    <t>Sticker Stock</t>
  </si>
  <si>
    <t>Bubble Modifier</t>
  </si>
  <si>
    <t>CP-201</t>
  </si>
  <si>
    <t>Lead</t>
  </si>
  <si>
    <t>PP-7</t>
  </si>
  <si>
    <t>1 Pac</t>
  </si>
  <si>
    <t>CP-501</t>
  </si>
  <si>
    <t>Upper</t>
  </si>
  <si>
    <t>CP-2</t>
  </si>
  <si>
    <t>Carbon</t>
  </si>
  <si>
    <t>Paint</t>
  </si>
  <si>
    <t>Color</t>
  </si>
  <si>
    <t>Paint Shop</t>
  </si>
  <si>
    <t>No. of Boxes</t>
  </si>
  <si>
    <t>Shopper</t>
  </si>
  <si>
    <t>Buckle</t>
  </si>
  <si>
    <t>Lacar</t>
  </si>
  <si>
    <t>Patawa</t>
  </si>
  <si>
    <t>Pearli</t>
  </si>
  <si>
    <t>Sticker</t>
  </si>
  <si>
    <t>Expansel</t>
  </si>
  <si>
    <t>Tape</t>
  </si>
  <si>
    <t>Kilos</t>
  </si>
  <si>
    <t>DOP</t>
  </si>
  <si>
    <t>P.T</t>
  </si>
  <si>
    <t>Buttons</t>
  </si>
  <si>
    <t>Chamak</t>
  </si>
  <si>
    <t>Quantity</t>
  </si>
  <si>
    <t>CP-55 (1/6)</t>
  </si>
  <si>
    <t>Carton Mocassin</t>
  </si>
  <si>
    <t>7 to 12</t>
  </si>
  <si>
    <t>CP-27/35</t>
  </si>
  <si>
    <t>Carton</t>
  </si>
  <si>
    <t>1 to 6</t>
  </si>
  <si>
    <t>Ready Uppers</t>
  </si>
  <si>
    <t>Grand Total</t>
  </si>
  <si>
    <t>CP-35</t>
  </si>
  <si>
    <t>CP-30</t>
  </si>
  <si>
    <t>CP-11</t>
  </si>
  <si>
    <t>CP-55 (4/6)</t>
  </si>
  <si>
    <t>Cartons</t>
  </si>
  <si>
    <t>No. of Pcs</t>
  </si>
  <si>
    <t>Slipper (11/12)</t>
  </si>
  <si>
    <t>CP-55 (1/6</t>
  </si>
  <si>
    <t>LV</t>
  </si>
  <si>
    <t>Lady</t>
  </si>
  <si>
    <t>CPK-Mocassin</t>
  </si>
  <si>
    <t>Sr. No.</t>
  </si>
  <si>
    <t>Customer Name</t>
  </si>
  <si>
    <t>City</t>
  </si>
  <si>
    <t>Abdullah</t>
  </si>
  <si>
    <t>Banu</t>
  </si>
  <si>
    <t>Fauji Abdul Rasheed</t>
  </si>
  <si>
    <t>Bhorawala</t>
  </si>
  <si>
    <t>Tariq Shoes</t>
  </si>
  <si>
    <t>Chakwal</t>
  </si>
  <si>
    <t>Abdul Momin</t>
  </si>
  <si>
    <t>Pindi Ghab</t>
  </si>
  <si>
    <t>Javaid Shoes</t>
  </si>
  <si>
    <t>Ramazan / Imtiaz</t>
  </si>
  <si>
    <t>Daragai</t>
  </si>
  <si>
    <t>Shahid Brothers</t>
  </si>
  <si>
    <t>DIK</t>
  </si>
  <si>
    <t>Ittefaq Shoes</t>
  </si>
  <si>
    <t>Dina</t>
  </si>
  <si>
    <t xml:space="preserve">Fine Chappal </t>
  </si>
  <si>
    <t>Faisalabad</t>
  </si>
  <si>
    <t>Abdur Rehman Chappal</t>
  </si>
  <si>
    <t>Chawala Shoes</t>
  </si>
  <si>
    <t>Inspire Shoes</t>
  </si>
  <si>
    <t>Sargodha</t>
  </si>
  <si>
    <t>Sethi Shoes</t>
  </si>
  <si>
    <t>Gujar Khan</t>
  </si>
  <si>
    <t>Rafiq Shoes</t>
  </si>
  <si>
    <t xml:space="preserve">Mushtaq Chappal </t>
  </si>
  <si>
    <t>Gujranwala</t>
  </si>
  <si>
    <t>Shafiq Shoes</t>
  </si>
  <si>
    <t>Wazir Shoes</t>
  </si>
  <si>
    <t>Mingora</t>
  </si>
  <si>
    <t>Shehreyar Shoes (S.C.S.)</t>
  </si>
  <si>
    <t>Ahmed Traders</t>
  </si>
  <si>
    <t>Gujrat</t>
  </si>
  <si>
    <t>Asif Shoes (Ahtasham)</t>
  </si>
  <si>
    <t>Osama Chappal</t>
  </si>
  <si>
    <t>Kaka Shoes</t>
  </si>
  <si>
    <t>Awais Shoes</t>
  </si>
  <si>
    <t>Tanawal Shoes</t>
  </si>
  <si>
    <t>Hari Pur</t>
  </si>
  <si>
    <t>Asif Shoes</t>
  </si>
  <si>
    <t>Tarbela Shoes</t>
  </si>
  <si>
    <t>Hasan Abdal</t>
  </si>
  <si>
    <t>Hanif Boot</t>
  </si>
  <si>
    <t>Hazaroo</t>
  </si>
  <si>
    <t>Fancy Shoes</t>
  </si>
  <si>
    <t>Asghar Boot</t>
  </si>
  <si>
    <t>Jehlum</t>
  </si>
  <si>
    <t>Kaka Shoes / Khawaja Tariq</t>
  </si>
  <si>
    <t>Jhawarian</t>
  </si>
  <si>
    <t>Mama Shoes</t>
  </si>
  <si>
    <t>Karachi</t>
  </si>
  <si>
    <t>Jahangir Shoes</t>
  </si>
  <si>
    <t>Katlang</t>
  </si>
  <si>
    <t>Bahadur Shoes</t>
  </si>
  <si>
    <t>Kharian</t>
  </si>
  <si>
    <t>Shalimar Shoes</t>
  </si>
  <si>
    <t>Modern Shoes</t>
  </si>
  <si>
    <t>Khushaab</t>
  </si>
  <si>
    <t>Winner Shoes</t>
  </si>
  <si>
    <t>SCS Chappal</t>
  </si>
  <si>
    <t>Lahore</t>
  </si>
  <si>
    <t>Adnan Shoes</t>
  </si>
  <si>
    <t>Lala Musa</t>
  </si>
  <si>
    <t>Master Shoes</t>
  </si>
  <si>
    <t>Maqbool Shoes</t>
  </si>
  <si>
    <t>Taj Chappal</t>
  </si>
  <si>
    <t>Larkana</t>
  </si>
  <si>
    <t>Khawaja Chappal</t>
  </si>
  <si>
    <t>Mandi Bahauddin</t>
  </si>
  <si>
    <t>Shafqat Shoes</t>
  </si>
  <si>
    <t>Sarfaraz / Fayyaz Jutt</t>
  </si>
  <si>
    <t>Waqas Shoes</t>
  </si>
  <si>
    <t>Abdul Jabbar</t>
  </si>
  <si>
    <t>Rawalpindi</t>
  </si>
  <si>
    <t>Zeeshan Shoes</t>
  </si>
  <si>
    <t>Irshaad Bhola</t>
  </si>
  <si>
    <t>Hameed Boot</t>
  </si>
  <si>
    <t>Mardan</t>
  </si>
  <si>
    <t>Fazal-e-Malik</t>
  </si>
  <si>
    <t>New Asif Shoes</t>
  </si>
  <si>
    <t>Arif Shoes</t>
  </si>
  <si>
    <t>Fashion Shoes</t>
  </si>
  <si>
    <t>Khan Shoes</t>
  </si>
  <si>
    <t>Apna Shoes</t>
  </si>
  <si>
    <t>Mianwali</t>
  </si>
  <si>
    <t>Khawaja Shoes</t>
  </si>
  <si>
    <t>Butt Shoes</t>
  </si>
  <si>
    <t>Multan</t>
  </si>
  <si>
    <t>Diamond Shoes</t>
  </si>
  <si>
    <t>Mujahid Shoes</t>
  </si>
  <si>
    <t>Tahir Shoes</t>
  </si>
  <si>
    <t>Multan Shoes</t>
  </si>
  <si>
    <t>Rashid Shoes</t>
  </si>
  <si>
    <t>Shahrukh Shoes</t>
  </si>
  <si>
    <t>Charming Shoes</t>
  </si>
  <si>
    <t>Nowshera</t>
  </si>
  <si>
    <t>Awami Shoes</t>
  </si>
  <si>
    <t>Anees Shoes</t>
  </si>
  <si>
    <t>Khalid Shoes Shabqadar</t>
  </si>
  <si>
    <t>Peshawar</t>
  </si>
  <si>
    <t>KPK/Tayyab Shoes</t>
  </si>
  <si>
    <t>Aftab Gulzar</t>
  </si>
  <si>
    <t>Mobeen Shoes</t>
  </si>
  <si>
    <t>Yasir Shoes</t>
  </si>
  <si>
    <t>Rehmat Shoes</t>
  </si>
  <si>
    <t>Mehtab Shoes</t>
  </si>
  <si>
    <t>Qasim Shoes</t>
  </si>
  <si>
    <t>Sun Rise Shoes</t>
  </si>
  <si>
    <t>Shiraz Shoes</t>
  </si>
  <si>
    <t>Special Shoes</t>
  </si>
  <si>
    <t>Falcon Shoe</t>
  </si>
  <si>
    <t>New China Shoes</t>
  </si>
  <si>
    <t>Sajid Shoes</t>
  </si>
  <si>
    <t>Baba Chappal Sabzi Mandi</t>
  </si>
  <si>
    <t>Naseem Fauji Colony</t>
  </si>
  <si>
    <t>Khalil Ganj Mandi</t>
  </si>
  <si>
    <t>Shoe Fit - Hameed Khan</t>
  </si>
  <si>
    <t>SK Traders (7 Eleven)</t>
  </si>
  <si>
    <t>Ayyan Shoes</t>
  </si>
  <si>
    <t>5 Brothers Shoes</t>
  </si>
  <si>
    <t>TF Shoes</t>
  </si>
  <si>
    <t>Mamoon Shoes</t>
  </si>
  <si>
    <t>Faisal Shoes</t>
  </si>
  <si>
    <t>Khursheed Shoes</t>
  </si>
  <si>
    <t>Dawn Shoes</t>
  </si>
  <si>
    <t>Naqeeb Shoes - Khanna Pul</t>
  </si>
  <si>
    <t>Dasti Cash Sales Khatta</t>
  </si>
  <si>
    <t>New Salman Shoes</t>
  </si>
  <si>
    <t>Shehzad Chappal</t>
  </si>
  <si>
    <t>Samriyal</t>
  </si>
  <si>
    <t>Bahar Boot</t>
  </si>
  <si>
    <t>Akbar Boot</t>
  </si>
  <si>
    <t>Shoaib Boot</t>
  </si>
  <si>
    <t>English Boot</t>
  </si>
  <si>
    <t>Ahsan Shoes</t>
  </si>
  <si>
    <t>Seray Alamgir</t>
  </si>
  <si>
    <t>Dilawar Chappal</t>
  </si>
  <si>
    <t>Seray Naurang</t>
  </si>
  <si>
    <t>Sheikh Chappal</t>
  </si>
  <si>
    <t>Sialkot</t>
  </si>
  <si>
    <t>Attari Shoes</t>
  </si>
  <si>
    <t>Silanwala</t>
  </si>
  <si>
    <t>Karachi Shoes</t>
  </si>
  <si>
    <t>Talagang</t>
  </si>
  <si>
    <t>Khurram Shoes</t>
  </si>
  <si>
    <t>Nasir Pound Shop</t>
  </si>
  <si>
    <t>Shahbaz Cutter</t>
  </si>
  <si>
    <t>Sohrab Naali</t>
  </si>
  <si>
    <t>Packs  Packages</t>
  </si>
  <si>
    <t>Yaqoob Sticker</t>
  </si>
  <si>
    <t>Saddam Waste</t>
  </si>
  <si>
    <t>Afzal Kharadiya</t>
  </si>
  <si>
    <t>Noman Traders</t>
  </si>
  <si>
    <t>Sami Sticker</t>
  </si>
  <si>
    <t>Ravi Chemicals</t>
  </si>
  <si>
    <t>Al Muzamil Screen &amp; Mehmood Screen</t>
  </si>
  <si>
    <t>Ansar Chemicals</t>
  </si>
  <si>
    <t>Gallop Plastic</t>
  </si>
  <si>
    <t>Committee</t>
  </si>
  <si>
    <t>Lal Saeed Waste</t>
  </si>
  <si>
    <t>Ather Rexin</t>
  </si>
  <si>
    <t>Waqas Buckle</t>
  </si>
  <si>
    <t>Power DOP</t>
  </si>
  <si>
    <t>Ismail Cutter</t>
  </si>
  <si>
    <t>Arshad Pathan</t>
  </si>
  <si>
    <t>Rashid BOPP Shopper</t>
  </si>
  <si>
    <t>Adnan Waste</t>
  </si>
  <si>
    <t>Rizwan Waste</t>
  </si>
  <si>
    <t>Parker Waste</t>
  </si>
  <si>
    <t>Khalid Shab Qadr</t>
  </si>
  <si>
    <t>Hassan Buckle</t>
  </si>
  <si>
    <t>Unique Plastic</t>
  </si>
  <si>
    <t>Metro Plastic</t>
  </si>
  <si>
    <t>Machine &amp; Molds</t>
  </si>
  <si>
    <t>PCU Machine</t>
  </si>
  <si>
    <t>Injection Molding Machine</t>
  </si>
  <si>
    <t>Molds</t>
  </si>
  <si>
    <t>Upper Molds</t>
  </si>
  <si>
    <t>No. of Plate</t>
  </si>
  <si>
    <t xml:space="preserve">PP 7 </t>
  </si>
  <si>
    <t>CP-55</t>
  </si>
  <si>
    <t>CP 2</t>
  </si>
  <si>
    <t>CP 505</t>
  </si>
  <si>
    <t>CP 3</t>
  </si>
  <si>
    <t>Silver Mocassin</t>
  </si>
  <si>
    <t>LV Mocassin</t>
  </si>
  <si>
    <t>CP-15 (peetal)</t>
  </si>
  <si>
    <t>CP 15</t>
  </si>
  <si>
    <t>CP 11, 27, 30, 35</t>
  </si>
  <si>
    <t>CP-33</t>
  </si>
  <si>
    <t>CP 16</t>
  </si>
  <si>
    <t>CP-27</t>
  </si>
  <si>
    <t>CP 40</t>
  </si>
  <si>
    <t>Lady Patta</t>
  </si>
  <si>
    <t>CP-40</t>
  </si>
  <si>
    <t>Kids Sole Mold</t>
  </si>
  <si>
    <t>CP-5501</t>
  </si>
  <si>
    <t>14 plats of IRON (each 11KG)</t>
  </si>
  <si>
    <t>CP 12 13 14</t>
  </si>
  <si>
    <t>CP - 503</t>
  </si>
  <si>
    <t>CP 1</t>
  </si>
  <si>
    <t>CP - 501</t>
  </si>
  <si>
    <t>CP - 507</t>
  </si>
  <si>
    <t>EVA Molds</t>
  </si>
  <si>
    <t>CP 64</t>
  </si>
  <si>
    <t>CP 65</t>
  </si>
  <si>
    <t>CP 66</t>
  </si>
  <si>
    <t>CP 67</t>
  </si>
  <si>
    <t>CP 68</t>
  </si>
  <si>
    <t>CPK 510</t>
  </si>
  <si>
    <t>Mixers</t>
  </si>
  <si>
    <t>Wiring</t>
  </si>
  <si>
    <t>Screw &amp; Barrels</t>
  </si>
  <si>
    <t>Misc. Upper Plates</t>
  </si>
  <si>
    <t>Cutter</t>
  </si>
  <si>
    <t>Power Factor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</si>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</sst>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_);_(* \(#,##0\);_(* &quot;-&quot;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6">
    <xf numFmtId="0" fontId="0" fillId="0" borderId="0" xfId="0"/>
    <xf numFmtId="164" fontId="0" fillId="0" borderId="0" xfId="1" applyNumberFormat="1" applyFont="1"/>
    <xf numFmtId="164" fontId="2" fillId="2" borderId="1" xfId="1" applyNumberFormat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164" fontId="2" fillId="2" borderId="3" xfId="1" applyNumberFormat="1" applyFont="1" applyFill="1" applyBorder="1" applyAlignment="1">
      <alignment horizontal="center" vertical="center" wrapText="1"/>
    </xf>
    <xf numFmtId="164" fontId="2" fillId="2" borderId="4" xfId="1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7" xfId="1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10" xfId="1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3" xfId="1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4" fontId="0" fillId="0" borderId="18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19" xfId="1" applyNumberFormat="1" applyFont="1" applyBorder="1" applyAlignment="1">
      <alignment horizontal="center" vertical="center"/>
    </xf>
    <xf numFmtId="164" fontId="2" fillId="0" borderId="0" xfId="1" applyNumberFormat="1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1" fontId="0" fillId="0" borderId="20" xfId="0" applyNumberFormat="1" applyBorder="1" applyAlignment="1">
      <alignment horizontal="center"/>
    </xf>
    <xf numFmtId="164" fontId="0" fillId="0" borderId="20" xfId="1" applyNumberFormat="1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1" fontId="0" fillId="0" borderId="21" xfId="0" applyNumberFormat="1" applyBorder="1" applyAlignment="1">
      <alignment horizontal="center"/>
    </xf>
    <xf numFmtId="164" fontId="0" fillId="0" borderId="21" xfId="1" applyNumberFormat="1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1" fontId="0" fillId="0" borderId="22" xfId="0" applyNumberFormat="1" applyBorder="1" applyAlignment="1">
      <alignment horizontal="center"/>
    </xf>
    <xf numFmtId="0" fontId="0" fillId="0" borderId="12" xfId="0" applyBorder="1"/>
    <xf numFmtId="164" fontId="0" fillId="0" borderId="12" xfId="1" applyNumberFormat="1" applyFont="1" applyBorder="1"/>
    <xf numFmtId="0" fontId="0" fillId="0" borderId="22" xfId="0" applyBorder="1" applyAlignment="1">
      <alignment horizontal="center" vertical="center"/>
    </xf>
    <xf numFmtId="164" fontId="2" fillId="0" borderId="12" xfId="1" applyNumberFormat="1" applyFont="1" applyBorder="1"/>
    <xf numFmtId="1" fontId="0" fillId="0" borderId="23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1" fontId="0" fillId="0" borderId="24" xfId="0" applyNumberFormat="1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64" fontId="0" fillId="0" borderId="19" xfId="1" applyNumberFormat="1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164" fontId="2" fillId="0" borderId="27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4" fontId="0" fillId="0" borderId="30" xfId="1" applyNumberFormat="1" applyFont="1" applyBorder="1" applyAlignment="1">
      <alignment horizontal="center" vertical="center"/>
    </xf>
    <xf numFmtId="164" fontId="2" fillId="0" borderId="19" xfId="1" applyNumberFormat="1" applyFont="1" applyBorder="1"/>
    <xf numFmtId="164" fontId="0" fillId="0" borderId="0" xfId="1" applyNumberFormat="1" applyFont="1" applyBorder="1"/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1" fillId="0" borderId="12" xfId="1" applyNumberFormat="1" applyFont="1" applyBorder="1" applyAlignment="1">
      <alignment horizontal="center" vertical="center"/>
    </xf>
    <xf numFmtId="164" fontId="2" fillId="0" borderId="24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4" fillId="0" borderId="19" xfId="1" applyNumberFormat="1" applyFont="1" applyBorder="1"/>
    <xf numFmtId="0" fontId="2" fillId="2" borderId="4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34" xfId="1" applyNumberFormat="1" applyFont="1" applyBorder="1"/>
    <xf numFmtId="0" fontId="0" fillId="0" borderId="35" xfId="0" applyBorder="1" applyAlignment="1">
      <alignment horizontal="center" vertical="center"/>
    </xf>
    <xf numFmtId="164" fontId="0" fillId="0" borderId="36" xfId="1" applyNumberFormat="1" applyFont="1" applyBorder="1"/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39" xfId="1" applyNumberFormat="1" applyFont="1" applyBorder="1"/>
    <xf numFmtId="164" fontId="0" fillId="0" borderId="20" xfId="1" applyNumberFormat="1" applyFont="1" applyFill="1" applyBorder="1"/>
    <xf numFmtId="164" fontId="0" fillId="0" borderId="21" xfId="1" applyNumberFormat="1" applyFont="1" applyFill="1" applyBorder="1"/>
    <xf numFmtId="164" fontId="0" fillId="0" borderId="0" xfId="0" applyNumberFormat="1"/>
    <xf numFmtId="164" fontId="0" fillId="0" borderId="22" xfId="1" applyNumberFormat="1" applyFont="1" applyFill="1" applyBorder="1"/>
    <xf numFmtId="164" fontId="0" fillId="0" borderId="38" xfId="1" applyNumberFormat="1" applyFont="1" applyFill="1" applyBorder="1"/>
    <xf numFmtId="164" fontId="4" fillId="0" borderId="3" xfId="0" applyNumberFormat="1" applyFont="1" applyBorder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0" fontId="0" fillId="0" borderId="5" xfId="0" applyBorder="1"/>
    <xf numFmtId="0" fontId="0" fillId="0" borderId="6" xfId="0" applyBorder="1"/>
    <xf numFmtId="164" fontId="0" fillId="0" borderId="7" xfId="1" applyNumberFormat="1" applyFont="1" applyBorder="1"/>
    <xf numFmtId="164" fontId="0" fillId="0" borderId="0" xfId="1" applyNumberFormat="1" applyFont="1" applyFill="1" applyBorder="1"/>
    <xf numFmtId="165" fontId="0" fillId="0" borderId="0" xfId="0" applyNumberFormat="1"/>
    <xf numFmtId="0" fontId="0" fillId="0" borderId="25" xfId="0" applyBorder="1"/>
    <xf numFmtId="164" fontId="0" fillId="0" borderId="25" xfId="1" applyNumberFormat="1" applyFont="1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10" xfId="1" applyNumberFormat="1" applyFont="1" applyBorder="1"/>
    <xf numFmtId="165" fontId="0" fillId="0" borderId="12" xfId="0" applyNumberFormat="1" applyBorder="1"/>
    <xf numFmtId="164" fontId="0" fillId="0" borderId="12" xfId="1" applyNumberFormat="1" applyFont="1" applyFill="1" applyBorder="1"/>
    <xf numFmtId="0" fontId="0" fillId="0" borderId="11" xfId="0" applyBorder="1"/>
    <xf numFmtId="0" fontId="0" fillId="0" borderId="12" xfId="0" applyBorder="1" applyAlignment="1">
      <alignment horizontal="center"/>
    </xf>
    <xf numFmtId="164" fontId="0" fillId="0" borderId="13" xfId="1" applyNumberFormat="1" applyFont="1" applyBorder="1"/>
    <xf numFmtId="0" fontId="2" fillId="0" borderId="12" xfId="0" applyFont="1" applyBorder="1"/>
    <xf numFmtId="164" fontId="2" fillId="0" borderId="12" xfId="0" applyNumberFormat="1" applyFont="1" applyBorder="1"/>
    <xf numFmtId="164" fontId="0" fillId="4" borderId="12" xfId="1" applyNumberFormat="1" applyFont="1" applyFill="1" applyBorder="1"/>
    <xf numFmtId="0" fontId="0" fillId="4" borderId="12" xfId="0" applyFill="1" applyBorder="1" applyAlignment="1">
      <alignment horizontal="center"/>
    </xf>
    <xf numFmtId="164" fontId="0" fillId="4" borderId="13" xfId="1" applyNumberFormat="1" applyFont="1" applyFill="1" applyBorder="1"/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164" fontId="2" fillId="0" borderId="18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5381-5A3C-4157-9063-7335C78496CC}">
  <dimension ref="B1:E115"/>
  <sheetViews>
    <sheetView topLeftCell="A102" workbookViewId="0">
      <selection activeCell="E112" sqref="E3:E112"/>
    </sheetView>
  </sheetViews>
  <sheetFormatPr defaultRowHeight="15" x14ac:dyDescent="0.25"/>
  <cols>
    <col min="2" max="2" width="6.85546875" bestFit="1" customWidth="1"/>
    <col min="3" max="3" width="25.7109375" bestFit="1" customWidth="1"/>
    <col min="4" max="4" width="16.5703125" bestFit="1" customWidth="1"/>
    <col min="5" max="5" width="27.42578125" style="1" customWidth="1"/>
  </cols>
  <sheetData>
    <row r="1" spans="2:5" ht="15.75" thickBot="1" x14ac:dyDescent="0.3"/>
    <row r="2" spans="2:5" ht="15.75" thickBot="1" x14ac:dyDescent="0.3">
      <c r="B2" s="63" t="s">
        <v>139</v>
      </c>
      <c r="C2" s="63" t="s">
        <v>140</v>
      </c>
      <c r="D2" s="63" t="s">
        <v>141</v>
      </c>
      <c r="E2" s="5" t="s">
        <v>1</v>
      </c>
    </row>
    <row r="3" spans="2:5" x14ac:dyDescent="0.25">
      <c r="B3" s="64">
        <v>1</v>
      </c>
      <c r="C3" s="64" t="s">
        <v>142</v>
      </c>
      <c r="D3" s="25" t="s">
        <v>143</v>
      </c>
      <c r="E3" s="65"/>
    </row>
    <row r="4" spans="2:5" x14ac:dyDescent="0.25">
      <c r="B4" s="66">
        <v>2</v>
      </c>
      <c r="C4" s="66" t="s">
        <v>144</v>
      </c>
      <c r="D4" s="29" t="s">
        <v>145</v>
      </c>
      <c r="E4" s="67"/>
    </row>
    <row r="5" spans="2:5" x14ac:dyDescent="0.25">
      <c r="B5" s="66">
        <v>3</v>
      </c>
      <c r="C5" s="66" t="s">
        <v>146</v>
      </c>
      <c r="D5" s="29" t="s">
        <v>147</v>
      </c>
      <c r="E5" s="67"/>
    </row>
    <row r="6" spans="2:5" x14ac:dyDescent="0.25">
      <c r="B6" s="66">
        <v>4</v>
      </c>
      <c r="C6" s="66" t="s">
        <v>148</v>
      </c>
      <c r="D6" s="29" t="s">
        <v>149</v>
      </c>
      <c r="E6" s="67"/>
    </row>
    <row r="7" spans="2:5" x14ac:dyDescent="0.25">
      <c r="B7" s="66">
        <v>5</v>
      </c>
      <c r="C7" s="66" t="s">
        <v>150</v>
      </c>
      <c r="D7" s="29" t="s">
        <v>147</v>
      </c>
      <c r="E7" s="67"/>
    </row>
    <row r="8" spans="2:5" x14ac:dyDescent="0.25">
      <c r="B8" s="66">
        <v>6</v>
      </c>
      <c r="C8" s="66" t="s">
        <v>151</v>
      </c>
      <c r="D8" s="29" t="s">
        <v>152</v>
      </c>
      <c r="E8" s="67"/>
    </row>
    <row r="9" spans="2:5" x14ac:dyDescent="0.25">
      <c r="B9" s="66">
        <v>7</v>
      </c>
      <c r="C9" s="66" t="s">
        <v>153</v>
      </c>
      <c r="D9" s="29" t="s">
        <v>154</v>
      </c>
      <c r="E9" s="67"/>
    </row>
    <row r="10" spans="2:5" x14ac:dyDescent="0.25">
      <c r="B10" s="66">
        <v>8</v>
      </c>
      <c r="C10" s="66" t="s">
        <v>155</v>
      </c>
      <c r="D10" s="29" t="s">
        <v>156</v>
      </c>
      <c r="E10" s="67"/>
    </row>
    <row r="11" spans="2:5" x14ac:dyDescent="0.25">
      <c r="B11" s="66">
        <v>9</v>
      </c>
      <c r="C11" s="66" t="s">
        <v>157</v>
      </c>
      <c r="D11" s="29" t="s">
        <v>158</v>
      </c>
      <c r="E11" s="67"/>
    </row>
    <row r="12" spans="2:5" x14ac:dyDescent="0.25">
      <c r="B12" s="66">
        <v>10</v>
      </c>
      <c r="C12" s="66" t="s">
        <v>159</v>
      </c>
      <c r="D12" s="29" t="s">
        <v>158</v>
      </c>
      <c r="E12" s="67"/>
    </row>
    <row r="13" spans="2:5" x14ac:dyDescent="0.25">
      <c r="B13" s="66">
        <v>11</v>
      </c>
      <c r="C13" s="66" t="s">
        <v>160</v>
      </c>
      <c r="D13" s="29" t="s">
        <v>158</v>
      </c>
      <c r="E13" s="67"/>
    </row>
    <row r="14" spans="2:5" x14ac:dyDescent="0.25">
      <c r="B14" s="66">
        <v>12</v>
      </c>
      <c r="C14" s="66" t="s">
        <v>161</v>
      </c>
      <c r="D14" s="29" t="s">
        <v>162</v>
      </c>
      <c r="E14" s="67"/>
    </row>
    <row r="15" spans="2:5" x14ac:dyDescent="0.25">
      <c r="B15" s="66">
        <v>13</v>
      </c>
      <c r="C15" s="66" t="s">
        <v>163</v>
      </c>
      <c r="D15" s="29" t="s">
        <v>164</v>
      </c>
      <c r="E15" s="67"/>
    </row>
    <row r="16" spans="2:5" x14ac:dyDescent="0.25">
      <c r="B16" s="66">
        <v>14</v>
      </c>
      <c r="C16" s="66" t="s">
        <v>165</v>
      </c>
      <c r="D16" s="29" t="s">
        <v>164</v>
      </c>
      <c r="E16" s="67"/>
    </row>
    <row r="17" spans="2:5" x14ac:dyDescent="0.25">
      <c r="B17" s="66">
        <v>15</v>
      </c>
      <c r="C17" s="66" t="s">
        <v>166</v>
      </c>
      <c r="D17" s="29" t="s">
        <v>167</v>
      </c>
      <c r="E17" s="67"/>
    </row>
    <row r="18" spans="2:5" x14ac:dyDescent="0.25">
      <c r="B18" s="66">
        <v>16</v>
      </c>
      <c r="C18" s="66" t="s">
        <v>168</v>
      </c>
      <c r="D18" s="29" t="s">
        <v>158</v>
      </c>
      <c r="E18" s="67"/>
    </row>
    <row r="19" spans="2:5" x14ac:dyDescent="0.25">
      <c r="B19" s="66">
        <v>17</v>
      </c>
      <c r="C19" s="66" t="s">
        <v>169</v>
      </c>
      <c r="D19" s="29" t="s">
        <v>170</v>
      </c>
      <c r="E19" s="67"/>
    </row>
    <row r="20" spans="2:5" x14ac:dyDescent="0.25">
      <c r="B20" s="66">
        <v>18</v>
      </c>
      <c r="C20" s="66" t="s">
        <v>171</v>
      </c>
      <c r="D20" s="29" t="s">
        <v>167</v>
      </c>
      <c r="E20" s="67"/>
    </row>
    <row r="21" spans="2:5" x14ac:dyDescent="0.25">
      <c r="B21" s="66">
        <v>19</v>
      </c>
      <c r="C21" s="66" t="s">
        <v>172</v>
      </c>
      <c r="D21" s="29" t="s">
        <v>173</v>
      </c>
      <c r="E21" s="67"/>
    </row>
    <row r="22" spans="2:5" x14ac:dyDescent="0.25">
      <c r="B22" s="66">
        <v>20</v>
      </c>
      <c r="C22" s="66" t="s">
        <v>174</v>
      </c>
      <c r="D22" s="29" t="s">
        <v>162</v>
      </c>
      <c r="E22" s="67"/>
    </row>
    <row r="23" spans="2:5" x14ac:dyDescent="0.25">
      <c r="B23" s="66">
        <v>21</v>
      </c>
      <c r="C23" s="66" t="s">
        <v>175</v>
      </c>
      <c r="D23" s="29" t="s">
        <v>173</v>
      </c>
      <c r="E23" s="67"/>
    </row>
    <row r="24" spans="2:5" x14ac:dyDescent="0.25">
      <c r="B24" s="66">
        <v>22</v>
      </c>
      <c r="C24" s="66" t="s">
        <v>176</v>
      </c>
      <c r="D24" s="29" t="s">
        <v>173</v>
      </c>
      <c r="E24" s="67"/>
    </row>
    <row r="25" spans="2:5" x14ac:dyDescent="0.25">
      <c r="B25" s="66">
        <v>23</v>
      </c>
      <c r="C25" s="66" t="s">
        <v>177</v>
      </c>
      <c r="D25" s="29" t="s">
        <v>173</v>
      </c>
      <c r="E25" s="67"/>
    </row>
    <row r="26" spans="2:5" x14ac:dyDescent="0.25">
      <c r="B26" s="66">
        <v>24</v>
      </c>
      <c r="C26" s="66" t="s">
        <v>178</v>
      </c>
      <c r="D26" s="29" t="s">
        <v>179</v>
      </c>
      <c r="E26" s="67"/>
    </row>
    <row r="27" spans="2:5" x14ac:dyDescent="0.25">
      <c r="B27" s="66">
        <v>25</v>
      </c>
      <c r="C27" s="66" t="s">
        <v>180</v>
      </c>
      <c r="D27" s="29" t="s">
        <v>179</v>
      </c>
      <c r="E27" s="67"/>
    </row>
    <row r="28" spans="2:5" x14ac:dyDescent="0.25">
      <c r="B28" s="66">
        <v>26</v>
      </c>
      <c r="C28" s="66" t="s">
        <v>181</v>
      </c>
      <c r="D28" s="29" t="s">
        <v>182</v>
      </c>
      <c r="E28" s="67"/>
    </row>
    <row r="29" spans="2:5" x14ac:dyDescent="0.25">
      <c r="B29" s="66">
        <v>27</v>
      </c>
      <c r="C29" s="66" t="s">
        <v>183</v>
      </c>
      <c r="D29" s="29" t="s">
        <v>184</v>
      </c>
      <c r="E29" s="67"/>
    </row>
    <row r="30" spans="2:5" x14ac:dyDescent="0.25">
      <c r="B30" s="66">
        <v>28</v>
      </c>
      <c r="C30" s="66" t="s">
        <v>185</v>
      </c>
      <c r="D30" s="29" t="s">
        <v>184</v>
      </c>
      <c r="E30" s="67"/>
    </row>
    <row r="31" spans="2:5" x14ac:dyDescent="0.25">
      <c r="B31" s="66">
        <v>29</v>
      </c>
      <c r="C31" s="66" t="s">
        <v>186</v>
      </c>
      <c r="D31" s="29" t="s">
        <v>187</v>
      </c>
      <c r="E31" s="67"/>
    </row>
    <row r="32" spans="2:5" x14ac:dyDescent="0.25">
      <c r="B32" s="66">
        <v>30</v>
      </c>
      <c r="C32" s="66" t="s">
        <v>188</v>
      </c>
      <c r="D32" s="29" t="s">
        <v>189</v>
      </c>
      <c r="E32" s="67"/>
    </row>
    <row r="33" spans="2:5" x14ac:dyDescent="0.25">
      <c r="B33" s="66">
        <v>31</v>
      </c>
      <c r="C33" s="66" t="s">
        <v>190</v>
      </c>
      <c r="D33" s="29" t="s">
        <v>191</v>
      </c>
      <c r="E33" s="67"/>
    </row>
    <row r="34" spans="2:5" x14ac:dyDescent="0.25">
      <c r="B34" s="66">
        <v>32</v>
      </c>
      <c r="C34" s="66" t="s">
        <v>192</v>
      </c>
      <c r="D34" s="29" t="s">
        <v>193</v>
      </c>
      <c r="E34" s="67"/>
    </row>
    <row r="35" spans="2:5" x14ac:dyDescent="0.25">
      <c r="B35" s="66">
        <v>33</v>
      </c>
      <c r="C35" s="66" t="s">
        <v>194</v>
      </c>
      <c r="D35" s="29" t="s">
        <v>195</v>
      </c>
      <c r="E35" s="67"/>
    </row>
    <row r="36" spans="2:5" x14ac:dyDescent="0.25">
      <c r="B36" s="66">
        <v>34</v>
      </c>
      <c r="C36" s="66" t="s">
        <v>196</v>
      </c>
      <c r="D36" s="29" t="s">
        <v>162</v>
      </c>
      <c r="E36" s="67"/>
    </row>
    <row r="37" spans="2:5" x14ac:dyDescent="0.25">
      <c r="B37" s="66">
        <v>35</v>
      </c>
      <c r="C37" s="66" t="s">
        <v>197</v>
      </c>
      <c r="D37" s="29" t="s">
        <v>198</v>
      </c>
      <c r="E37" s="67"/>
    </row>
    <row r="38" spans="2:5" x14ac:dyDescent="0.25">
      <c r="B38" s="66">
        <v>36</v>
      </c>
      <c r="C38" s="66" t="s">
        <v>199</v>
      </c>
      <c r="D38" s="29" t="s">
        <v>173</v>
      </c>
      <c r="E38" s="67"/>
    </row>
    <row r="39" spans="2:5" x14ac:dyDescent="0.25">
      <c r="B39" s="66">
        <v>37</v>
      </c>
      <c r="C39" s="66" t="s">
        <v>200</v>
      </c>
      <c r="D39" s="29" t="s">
        <v>201</v>
      </c>
      <c r="E39" s="67"/>
    </row>
    <row r="40" spans="2:5" x14ac:dyDescent="0.25">
      <c r="B40" s="66">
        <v>38</v>
      </c>
      <c r="C40" s="66" t="s">
        <v>202</v>
      </c>
      <c r="D40" s="29" t="s">
        <v>203</v>
      </c>
      <c r="E40" s="67"/>
    </row>
    <row r="41" spans="2:5" x14ac:dyDescent="0.25">
      <c r="B41" s="66">
        <v>39</v>
      </c>
      <c r="C41" s="66" t="s">
        <v>204</v>
      </c>
      <c r="D41" s="29" t="s">
        <v>203</v>
      </c>
      <c r="E41" s="67"/>
    </row>
    <row r="42" spans="2:5" x14ac:dyDescent="0.25">
      <c r="B42" s="66">
        <v>40</v>
      </c>
      <c r="C42" s="66" t="s">
        <v>205</v>
      </c>
      <c r="D42" s="29" t="s">
        <v>203</v>
      </c>
      <c r="E42" s="67"/>
    </row>
    <row r="43" spans="2:5" x14ac:dyDescent="0.25">
      <c r="B43" s="66">
        <v>41</v>
      </c>
      <c r="C43" s="66" t="s">
        <v>206</v>
      </c>
      <c r="D43" s="29" t="s">
        <v>207</v>
      </c>
      <c r="E43" s="67"/>
    </row>
    <row r="44" spans="2:5" x14ac:dyDescent="0.25">
      <c r="B44" s="66">
        <v>42</v>
      </c>
      <c r="C44" s="66" t="s">
        <v>208</v>
      </c>
      <c r="D44" s="29" t="s">
        <v>209</v>
      </c>
      <c r="E44" s="67"/>
    </row>
    <row r="45" spans="2:5" x14ac:dyDescent="0.25">
      <c r="B45" s="66">
        <v>43</v>
      </c>
      <c r="C45" s="66" t="s">
        <v>210</v>
      </c>
      <c r="D45" s="29" t="s">
        <v>209</v>
      </c>
      <c r="E45" s="67"/>
    </row>
    <row r="46" spans="2:5" x14ac:dyDescent="0.25">
      <c r="B46" s="66">
        <v>44</v>
      </c>
      <c r="C46" s="66" t="s">
        <v>211</v>
      </c>
      <c r="D46" s="29" t="s">
        <v>209</v>
      </c>
      <c r="E46" s="67"/>
    </row>
    <row r="47" spans="2:5" x14ac:dyDescent="0.25">
      <c r="B47" s="66">
        <v>45</v>
      </c>
      <c r="C47" s="66" t="s">
        <v>212</v>
      </c>
      <c r="D47" s="29" t="s">
        <v>209</v>
      </c>
      <c r="E47" s="67"/>
    </row>
    <row r="48" spans="2:5" x14ac:dyDescent="0.25">
      <c r="B48" s="66">
        <v>46</v>
      </c>
      <c r="C48" s="66" t="s">
        <v>213</v>
      </c>
      <c r="D48" s="29" t="s">
        <v>214</v>
      </c>
      <c r="E48" s="67"/>
    </row>
    <row r="49" spans="2:5" x14ac:dyDescent="0.25">
      <c r="B49" s="66">
        <v>47</v>
      </c>
      <c r="C49" s="66" t="s">
        <v>215</v>
      </c>
      <c r="D49" s="29" t="s">
        <v>209</v>
      </c>
      <c r="E49" s="67"/>
    </row>
    <row r="50" spans="2:5" x14ac:dyDescent="0.25">
      <c r="B50" s="66">
        <v>48</v>
      </c>
      <c r="C50" s="66" t="s">
        <v>216</v>
      </c>
      <c r="D50" s="29" t="s">
        <v>209</v>
      </c>
      <c r="E50" s="67"/>
    </row>
    <row r="51" spans="2:5" x14ac:dyDescent="0.25">
      <c r="B51" s="66">
        <v>49</v>
      </c>
      <c r="C51" s="66" t="s">
        <v>217</v>
      </c>
      <c r="D51" s="29" t="s">
        <v>218</v>
      </c>
      <c r="E51" s="67"/>
    </row>
    <row r="52" spans="2:5" x14ac:dyDescent="0.25">
      <c r="B52" s="66">
        <v>50</v>
      </c>
      <c r="C52" s="66" t="s">
        <v>219</v>
      </c>
      <c r="D52" s="29" t="s">
        <v>218</v>
      </c>
      <c r="E52" s="67"/>
    </row>
    <row r="53" spans="2:5" x14ac:dyDescent="0.25">
      <c r="B53" s="66">
        <v>51</v>
      </c>
      <c r="C53" s="66" t="s">
        <v>220</v>
      </c>
      <c r="D53" s="29" t="s">
        <v>218</v>
      </c>
      <c r="E53" s="67"/>
    </row>
    <row r="54" spans="2:5" x14ac:dyDescent="0.25">
      <c r="B54" s="66">
        <v>52</v>
      </c>
      <c r="C54" s="66" t="s">
        <v>221</v>
      </c>
      <c r="D54" s="29" t="s">
        <v>218</v>
      </c>
      <c r="E54" s="67"/>
    </row>
    <row r="55" spans="2:5" x14ac:dyDescent="0.25">
      <c r="B55" s="66">
        <v>53</v>
      </c>
      <c r="C55" s="66" t="s">
        <v>222</v>
      </c>
      <c r="D55" s="29" t="s">
        <v>218</v>
      </c>
      <c r="E55" s="67"/>
    </row>
    <row r="56" spans="2:5" x14ac:dyDescent="0.25">
      <c r="B56" s="66">
        <v>54</v>
      </c>
      <c r="C56" s="66" t="s">
        <v>223</v>
      </c>
      <c r="D56" s="29" t="s">
        <v>218</v>
      </c>
      <c r="E56" s="67"/>
    </row>
    <row r="57" spans="2:5" x14ac:dyDescent="0.25">
      <c r="B57" s="66">
        <v>55</v>
      </c>
      <c r="C57" s="66" t="s">
        <v>224</v>
      </c>
      <c r="D57" s="29" t="s">
        <v>225</v>
      </c>
      <c r="E57" s="67"/>
    </row>
    <row r="58" spans="2:5" x14ac:dyDescent="0.25">
      <c r="B58" s="66">
        <v>56</v>
      </c>
      <c r="C58" s="66" t="s">
        <v>226</v>
      </c>
      <c r="D58" s="29" t="s">
        <v>225</v>
      </c>
      <c r="E58" s="67"/>
    </row>
    <row r="59" spans="2:5" x14ac:dyDescent="0.25">
      <c r="B59" s="66">
        <v>57</v>
      </c>
      <c r="C59" s="66" t="s">
        <v>227</v>
      </c>
      <c r="D59" s="29" t="s">
        <v>228</v>
      </c>
      <c r="E59" s="67"/>
    </row>
    <row r="60" spans="2:5" x14ac:dyDescent="0.25">
      <c r="B60" s="66">
        <v>58</v>
      </c>
      <c r="C60" s="66" t="s">
        <v>229</v>
      </c>
      <c r="D60" s="29" t="s">
        <v>228</v>
      </c>
      <c r="E60" s="67"/>
    </row>
    <row r="61" spans="2:5" x14ac:dyDescent="0.25">
      <c r="B61" s="66">
        <v>59</v>
      </c>
      <c r="C61" s="66" t="s">
        <v>230</v>
      </c>
      <c r="D61" s="29" t="s">
        <v>228</v>
      </c>
      <c r="E61" s="67"/>
    </row>
    <row r="62" spans="2:5" x14ac:dyDescent="0.25">
      <c r="B62" s="66">
        <v>60</v>
      </c>
      <c r="C62" s="66" t="s">
        <v>231</v>
      </c>
      <c r="D62" s="29" t="s">
        <v>228</v>
      </c>
      <c r="E62" s="67"/>
    </row>
    <row r="63" spans="2:5" x14ac:dyDescent="0.25">
      <c r="B63" s="66">
        <v>61</v>
      </c>
      <c r="C63" s="66" t="s">
        <v>232</v>
      </c>
      <c r="D63" s="29" t="s">
        <v>228</v>
      </c>
      <c r="E63" s="67"/>
    </row>
    <row r="64" spans="2:5" x14ac:dyDescent="0.25">
      <c r="B64" s="66">
        <v>62</v>
      </c>
      <c r="C64" s="66" t="s">
        <v>233</v>
      </c>
      <c r="D64" s="29" t="s">
        <v>228</v>
      </c>
      <c r="E64" s="67"/>
    </row>
    <row r="65" spans="2:5" x14ac:dyDescent="0.25">
      <c r="B65" s="66">
        <v>63</v>
      </c>
      <c r="C65" s="66" t="s">
        <v>234</v>
      </c>
      <c r="D65" s="29" t="s">
        <v>162</v>
      </c>
      <c r="E65" s="67"/>
    </row>
    <row r="66" spans="2:5" x14ac:dyDescent="0.25">
      <c r="B66" s="66">
        <v>64</v>
      </c>
      <c r="C66" s="66" t="s">
        <v>235</v>
      </c>
      <c r="D66" s="29" t="s">
        <v>236</v>
      </c>
      <c r="E66" s="67"/>
    </row>
    <row r="67" spans="2:5" x14ac:dyDescent="0.25">
      <c r="B67" s="66">
        <v>65</v>
      </c>
      <c r="C67" s="66" t="s">
        <v>237</v>
      </c>
      <c r="D67" s="29" t="s">
        <v>218</v>
      </c>
      <c r="E67" s="67"/>
    </row>
    <row r="68" spans="2:5" x14ac:dyDescent="0.25">
      <c r="B68" s="66">
        <v>66</v>
      </c>
      <c r="C68" s="66" t="s">
        <v>238</v>
      </c>
      <c r="D68" s="29" t="s">
        <v>218</v>
      </c>
      <c r="E68" s="67"/>
    </row>
    <row r="69" spans="2:5" x14ac:dyDescent="0.25">
      <c r="B69" s="66">
        <v>67</v>
      </c>
      <c r="C69" s="66" t="s">
        <v>239</v>
      </c>
      <c r="D69" s="29" t="s">
        <v>240</v>
      </c>
      <c r="E69" s="67"/>
    </row>
    <row r="70" spans="2:5" x14ac:dyDescent="0.25">
      <c r="B70" s="66">
        <v>68</v>
      </c>
      <c r="C70" s="66" t="s">
        <v>241</v>
      </c>
      <c r="D70" s="29" t="s">
        <v>214</v>
      </c>
      <c r="E70" s="67"/>
    </row>
    <row r="71" spans="2:5" x14ac:dyDescent="0.25">
      <c r="B71" s="66">
        <v>69</v>
      </c>
      <c r="C71" s="66" t="s">
        <v>242</v>
      </c>
      <c r="D71" s="29" t="s">
        <v>214</v>
      </c>
      <c r="E71" s="67"/>
    </row>
    <row r="72" spans="2:5" x14ac:dyDescent="0.25">
      <c r="B72" s="66">
        <v>70</v>
      </c>
      <c r="C72" s="66" t="s">
        <v>243</v>
      </c>
      <c r="D72" s="29" t="s">
        <v>214</v>
      </c>
      <c r="E72" s="67"/>
    </row>
    <row r="73" spans="2:5" x14ac:dyDescent="0.25">
      <c r="B73" s="66">
        <v>71</v>
      </c>
      <c r="C73" s="66" t="s">
        <v>244</v>
      </c>
      <c r="D73" s="29" t="s">
        <v>214</v>
      </c>
      <c r="E73" s="67"/>
    </row>
    <row r="74" spans="2:5" x14ac:dyDescent="0.25">
      <c r="B74" s="66">
        <v>72</v>
      </c>
      <c r="C74" s="66" t="s">
        <v>245</v>
      </c>
      <c r="D74" s="29" t="s">
        <v>214</v>
      </c>
      <c r="E74" s="67"/>
    </row>
    <row r="75" spans="2:5" x14ac:dyDescent="0.25">
      <c r="B75" s="66">
        <v>73</v>
      </c>
      <c r="C75" s="66" t="s">
        <v>160</v>
      </c>
      <c r="D75" s="29" t="s">
        <v>214</v>
      </c>
      <c r="E75" s="67"/>
    </row>
    <row r="76" spans="2:5" x14ac:dyDescent="0.25">
      <c r="B76" s="66">
        <v>74</v>
      </c>
      <c r="C76" s="66" t="s">
        <v>246</v>
      </c>
      <c r="D76" s="29" t="s">
        <v>214</v>
      </c>
      <c r="E76" s="67"/>
    </row>
    <row r="77" spans="2:5" x14ac:dyDescent="0.25">
      <c r="B77" s="66">
        <v>75</v>
      </c>
      <c r="C77" s="66" t="s">
        <v>247</v>
      </c>
      <c r="D77" s="29" t="s">
        <v>214</v>
      </c>
      <c r="E77" s="67"/>
    </row>
    <row r="78" spans="2:5" x14ac:dyDescent="0.25">
      <c r="B78" s="66">
        <v>76</v>
      </c>
      <c r="C78" s="66" t="s">
        <v>248</v>
      </c>
      <c r="D78" s="29" t="s">
        <v>214</v>
      </c>
      <c r="E78" s="67"/>
    </row>
    <row r="79" spans="2:5" x14ac:dyDescent="0.25">
      <c r="B79" s="66">
        <v>77</v>
      </c>
      <c r="C79" s="66" t="s">
        <v>249</v>
      </c>
      <c r="D79" s="29" t="s">
        <v>214</v>
      </c>
      <c r="E79" s="67"/>
    </row>
    <row r="80" spans="2:5" x14ac:dyDescent="0.25">
      <c r="B80" s="66">
        <v>78</v>
      </c>
      <c r="C80" s="66" t="s">
        <v>250</v>
      </c>
      <c r="D80" s="29" t="s">
        <v>214</v>
      </c>
      <c r="E80" s="67"/>
    </row>
    <row r="81" spans="2:5" x14ac:dyDescent="0.25">
      <c r="B81" s="66">
        <v>79</v>
      </c>
      <c r="C81" s="66" t="s">
        <v>251</v>
      </c>
      <c r="D81" s="29" t="s">
        <v>214</v>
      </c>
      <c r="E81" s="67"/>
    </row>
    <row r="82" spans="2:5" x14ac:dyDescent="0.25">
      <c r="B82" s="66">
        <v>80</v>
      </c>
      <c r="C82" s="66" t="s">
        <v>252</v>
      </c>
      <c r="D82" s="29" t="s">
        <v>214</v>
      </c>
      <c r="E82" s="67"/>
    </row>
    <row r="83" spans="2:5" x14ac:dyDescent="0.25">
      <c r="B83" s="66">
        <v>81</v>
      </c>
      <c r="C83" s="66" t="s">
        <v>253</v>
      </c>
      <c r="D83" s="29" t="s">
        <v>214</v>
      </c>
      <c r="E83" s="67"/>
    </row>
    <row r="84" spans="2:5" x14ac:dyDescent="0.25">
      <c r="B84" s="66">
        <v>82</v>
      </c>
      <c r="C84" s="66" t="s">
        <v>254</v>
      </c>
      <c r="D84" s="29" t="s">
        <v>214</v>
      </c>
      <c r="E84" s="67"/>
    </row>
    <row r="85" spans="2:5" x14ac:dyDescent="0.25">
      <c r="B85" s="66">
        <v>83</v>
      </c>
      <c r="C85" s="66" t="s">
        <v>255</v>
      </c>
      <c r="D85" s="29" t="s">
        <v>214</v>
      </c>
      <c r="E85" s="67"/>
    </row>
    <row r="86" spans="2:5" x14ac:dyDescent="0.25">
      <c r="B86" s="66">
        <v>84</v>
      </c>
      <c r="C86" s="66" t="s">
        <v>256</v>
      </c>
      <c r="D86" s="29" t="s">
        <v>214</v>
      </c>
      <c r="E86" s="67"/>
    </row>
    <row r="87" spans="2:5" x14ac:dyDescent="0.25">
      <c r="B87" s="66">
        <v>85</v>
      </c>
      <c r="C87" s="66" t="s">
        <v>257</v>
      </c>
      <c r="D87" s="29" t="s">
        <v>201</v>
      </c>
      <c r="E87" s="67"/>
    </row>
    <row r="88" spans="2:5" x14ac:dyDescent="0.25">
      <c r="B88" s="66">
        <v>86</v>
      </c>
      <c r="C88" s="66" t="s">
        <v>258</v>
      </c>
      <c r="D88" s="29" t="s">
        <v>201</v>
      </c>
      <c r="E88" s="67"/>
    </row>
    <row r="89" spans="2:5" x14ac:dyDescent="0.25">
      <c r="B89" s="66">
        <v>87</v>
      </c>
      <c r="C89" s="66" t="s">
        <v>259</v>
      </c>
      <c r="D89" s="29" t="s">
        <v>214</v>
      </c>
      <c r="E89" s="67"/>
    </row>
    <row r="90" spans="2:5" x14ac:dyDescent="0.25">
      <c r="B90" s="66">
        <v>88</v>
      </c>
      <c r="C90" s="66" t="s">
        <v>260</v>
      </c>
      <c r="D90" s="29" t="s">
        <v>214</v>
      </c>
      <c r="E90" s="67"/>
    </row>
    <row r="91" spans="2:5" x14ac:dyDescent="0.25">
      <c r="B91" s="66">
        <v>89</v>
      </c>
      <c r="C91" s="66" t="s">
        <v>261</v>
      </c>
      <c r="D91" s="29" t="s">
        <v>214</v>
      </c>
      <c r="E91" s="67"/>
    </row>
    <row r="92" spans="2:5" x14ac:dyDescent="0.25">
      <c r="B92" s="66">
        <v>90</v>
      </c>
      <c r="C92" s="66" t="s">
        <v>233</v>
      </c>
      <c r="D92" s="29" t="s">
        <v>214</v>
      </c>
      <c r="E92" s="67"/>
    </row>
    <row r="93" spans="2:5" x14ac:dyDescent="0.25">
      <c r="B93" s="66">
        <v>91</v>
      </c>
      <c r="C93" s="66" t="s">
        <v>262</v>
      </c>
      <c r="D93" s="29" t="s">
        <v>214</v>
      </c>
      <c r="E93" s="67"/>
    </row>
    <row r="94" spans="2:5" x14ac:dyDescent="0.25">
      <c r="B94" s="66">
        <v>92</v>
      </c>
      <c r="C94" s="66" t="s">
        <v>263</v>
      </c>
      <c r="D94" s="29" t="s">
        <v>214</v>
      </c>
      <c r="E94" s="67"/>
    </row>
    <row r="95" spans="2:5" x14ac:dyDescent="0.25">
      <c r="B95" s="66">
        <v>93</v>
      </c>
      <c r="C95" s="66" t="s">
        <v>264</v>
      </c>
      <c r="D95" s="29" t="s">
        <v>214</v>
      </c>
      <c r="E95" s="67"/>
    </row>
    <row r="96" spans="2:5" x14ac:dyDescent="0.25">
      <c r="B96" s="66">
        <v>94</v>
      </c>
      <c r="C96" s="66" t="s">
        <v>265</v>
      </c>
      <c r="D96" s="29" t="s">
        <v>214</v>
      </c>
      <c r="E96" s="67"/>
    </row>
    <row r="97" spans="2:5" x14ac:dyDescent="0.25">
      <c r="B97" s="66">
        <v>95</v>
      </c>
      <c r="C97" s="66" t="s">
        <v>266</v>
      </c>
      <c r="D97" s="29" t="s">
        <v>214</v>
      </c>
      <c r="E97" s="67"/>
    </row>
    <row r="98" spans="2:5" x14ac:dyDescent="0.25">
      <c r="B98" s="66">
        <v>96</v>
      </c>
      <c r="C98" s="66" t="s">
        <v>267</v>
      </c>
      <c r="D98" s="29" t="s">
        <v>214</v>
      </c>
      <c r="E98" s="67"/>
    </row>
    <row r="99" spans="2:5" x14ac:dyDescent="0.25">
      <c r="B99" s="66">
        <v>97</v>
      </c>
      <c r="C99" s="66" t="s">
        <v>268</v>
      </c>
      <c r="D99" s="29" t="s">
        <v>214</v>
      </c>
      <c r="E99" s="67"/>
    </row>
    <row r="100" spans="2:5" x14ac:dyDescent="0.25">
      <c r="B100" s="66">
        <v>98</v>
      </c>
      <c r="C100" s="66" t="s">
        <v>269</v>
      </c>
      <c r="D100" s="29" t="s">
        <v>270</v>
      </c>
      <c r="E100" s="67"/>
    </row>
    <row r="101" spans="2:5" x14ac:dyDescent="0.25">
      <c r="B101" s="66">
        <v>99</v>
      </c>
      <c r="C101" s="66" t="s">
        <v>271</v>
      </c>
      <c r="D101" s="29" t="s">
        <v>162</v>
      </c>
      <c r="E101" s="67"/>
    </row>
    <row r="102" spans="2:5" x14ac:dyDescent="0.25">
      <c r="B102" s="66">
        <v>100</v>
      </c>
      <c r="C102" s="66" t="s">
        <v>272</v>
      </c>
      <c r="D102" s="29" t="s">
        <v>162</v>
      </c>
      <c r="E102" s="67"/>
    </row>
    <row r="103" spans="2:5" x14ac:dyDescent="0.25">
      <c r="B103" s="66">
        <v>101</v>
      </c>
      <c r="C103" s="66" t="s">
        <v>273</v>
      </c>
      <c r="D103" s="29" t="s">
        <v>162</v>
      </c>
      <c r="E103" s="67"/>
    </row>
    <row r="104" spans="2:5" x14ac:dyDescent="0.25">
      <c r="B104" s="66">
        <v>102</v>
      </c>
      <c r="C104" s="66" t="s">
        <v>274</v>
      </c>
      <c r="D104" s="29" t="s">
        <v>162</v>
      </c>
      <c r="E104" s="67"/>
    </row>
    <row r="105" spans="2:5" x14ac:dyDescent="0.25">
      <c r="B105" s="66">
        <v>103</v>
      </c>
      <c r="C105" s="66" t="s">
        <v>223</v>
      </c>
      <c r="D105" s="29" t="s">
        <v>218</v>
      </c>
      <c r="E105" s="67"/>
    </row>
    <row r="106" spans="2:5" x14ac:dyDescent="0.25">
      <c r="B106" s="66">
        <v>104</v>
      </c>
      <c r="C106" s="66" t="s">
        <v>275</v>
      </c>
      <c r="D106" s="29" t="s">
        <v>276</v>
      </c>
      <c r="E106" s="67"/>
    </row>
    <row r="107" spans="2:5" x14ac:dyDescent="0.25">
      <c r="B107" s="66">
        <v>105</v>
      </c>
      <c r="C107" s="66" t="s">
        <v>277</v>
      </c>
      <c r="D107" s="29" t="s">
        <v>278</v>
      </c>
      <c r="E107" s="67"/>
    </row>
    <row r="108" spans="2:5" x14ac:dyDescent="0.25">
      <c r="B108" s="66">
        <v>106</v>
      </c>
      <c r="C108" s="66" t="s">
        <v>279</v>
      </c>
      <c r="D108" s="29" t="s">
        <v>280</v>
      </c>
      <c r="E108" s="67"/>
    </row>
    <row r="109" spans="2:5" x14ac:dyDescent="0.25">
      <c r="B109" s="66">
        <v>107</v>
      </c>
      <c r="C109" s="66" t="s">
        <v>281</v>
      </c>
      <c r="D109" s="29" t="s">
        <v>282</v>
      </c>
      <c r="E109" s="67"/>
    </row>
    <row r="110" spans="2:5" x14ac:dyDescent="0.25">
      <c r="B110" s="66">
        <v>108</v>
      </c>
      <c r="C110" s="66" t="s">
        <v>283</v>
      </c>
      <c r="D110" s="29" t="s">
        <v>284</v>
      </c>
      <c r="E110" s="67"/>
    </row>
    <row r="111" spans="2:5" x14ac:dyDescent="0.25">
      <c r="B111" s="66">
        <v>109</v>
      </c>
      <c r="C111" s="66" t="s">
        <v>285</v>
      </c>
      <c r="D111" s="29" t="s">
        <v>284</v>
      </c>
      <c r="E111" s="67"/>
    </row>
    <row r="112" spans="2:5" ht="15.75" thickBot="1" x14ac:dyDescent="0.3">
      <c r="B112" s="66">
        <v>110</v>
      </c>
      <c r="C112" s="68" t="s">
        <v>286</v>
      </c>
      <c r="D112" s="69" t="s">
        <v>284</v>
      </c>
      <c r="E112" s="70"/>
    </row>
    <row r="113" spans="2:5" ht="19.5" thickBot="1" x14ac:dyDescent="0.35">
      <c r="B113" s="59" t="s">
        <v>127</v>
      </c>
      <c r="C113" s="60"/>
      <c r="D113" s="61"/>
      <c r="E113" s="62">
        <f>SUM(E3:E112)</f>
        <v>0</v>
      </c>
    </row>
    <row r="115" spans="2:5" x14ac:dyDescent="0.25">
      <c r="E115"/>
    </row>
  </sheetData>
  <autoFilter ref="B2:E113" xr:uid="{E074D5C3-3409-4B92-BE34-5FF45D2C596A}"/>
  <mergeCells count="1">
    <mergeCell ref="B113:D1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325C3-BCF4-4B6D-99EE-D64C50F6C067}">
  <dimension ref="B1:G32"/>
  <sheetViews>
    <sheetView workbookViewId="0">
      <selection activeCell="E3" sqref="E3:E29"/>
    </sheetView>
  </sheetViews>
  <sheetFormatPr defaultRowHeight="15" x14ac:dyDescent="0.25"/>
  <cols>
    <col min="2" max="2" width="6.85546875" bestFit="1" customWidth="1"/>
    <col min="3" max="3" width="36" bestFit="1" customWidth="1"/>
    <col min="4" max="4" width="10.85546875" bestFit="1" customWidth="1"/>
    <col min="5" max="5" width="17.7109375" customWidth="1"/>
  </cols>
  <sheetData>
    <row r="1" spans="2:5" ht="15.75" thickBot="1" x14ac:dyDescent="0.3"/>
    <row r="2" spans="2:5" ht="30.75" thickBot="1" x14ac:dyDescent="0.3">
      <c r="B2" s="63" t="s">
        <v>139</v>
      </c>
      <c r="C2" s="63" t="s">
        <v>140</v>
      </c>
      <c r="D2" s="63" t="s">
        <v>141</v>
      </c>
      <c r="E2" s="5" t="s">
        <v>1</v>
      </c>
    </row>
    <row r="3" spans="2:5" x14ac:dyDescent="0.25">
      <c r="B3" s="25">
        <v>1</v>
      </c>
      <c r="C3" s="25" t="s">
        <v>287</v>
      </c>
      <c r="D3" s="25" t="s">
        <v>214</v>
      </c>
      <c r="E3" s="71"/>
    </row>
    <row r="4" spans="2:5" x14ac:dyDescent="0.25">
      <c r="B4" s="29">
        <v>2</v>
      </c>
      <c r="C4" s="29" t="s">
        <v>288</v>
      </c>
      <c r="D4" s="29" t="s">
        <v>214</v>
      </c>
      <c r="E4" s="72"/>
    </row>
    <row r="5" spans="2:5" x14ac:dyDescent="0.25">
      <c r="B5" s="29">
        <v>3</v>
      </c>
      <c r="C5" s="29" t="s">
        <v>289</v>
      </c>
      <c r="D5" s="29" t="s">
        <v>214</v>
      </c>
      <c r="E5" s="72"/>
    </row>
    <row r="6" spans="2:5" x14ac:dyDescent="0.25">
      <c r="B6" s="29">
        <v>4</v>
      </c>
      <c r="C6" s="29" t="s">
        <v>290</v>
      </c>
      <c r="D6" s="29" t="s">
        <v>214</v>
      </c>
      <c r="E6" s="72"/>
    </row>
    <row r="7" spans="2:5" x14ac:dyDescent="0.25">
      <c r="B7" s="29">
        <v>5</v>
      </c>
      <c r="C7" s="29" t="s">
        <v>291</v>
      </c>
      <c r="D7" s="29" t="s">
        <v>214</v>
      </c>
      <c r="E7" s="72"/>
    </row>
    <row r="8" spans="2:5" x14ac:dyDescent="0.25">
      <c r="B8" s="29">
        <v>6</v>
      </c>
      <c r="C8" s="29" t="s">
        <v>292</v>
      </c>
      <c r="D8" s="29" t="s">
        <v>214</v>
      </c>
      <c r="E8" s="72"/>
    </row>
    <row r="9" spans="2:5" x14ac:dyDescent="0.25">
      <c r="B9" s="29">
        <v>7</v>
      </c>
      <c r="C9" s="29" t="s">
        <v>293</v>
      </c>
      <c r="D9" s="29" t="s">
        <v>214</v>
      </c>
      <c r="E9" s="72"/>
    </row>
    <row r="10" spans="2:5" x14ac:dyDescent="0.25">
      <c r="B10" s="29">
        <v>8</v>
      </c>
      <c r="C10" s="29" t="s">
        <v>294</v>
      </c>
      <c r="D10" s="29" t="s">
        <v>201</v>
      </c>
      <c r="E10" s="72"/>
    </row>
    <row r="11" spans="2:5" x14ac:dyDescent="0.25">
      <c r="B11" s="29">
        <v>9</v>
      </c>
      <c r="C11" s="29" t="s">
        <v>295</v>
      </c>
      <c r="D11" s="29" t="s">
        <v>201</v>
      </c>
      <c r="E11" s="72"/>
    </row>
    <row r="12" spans="2:5" x14ac:dyDescent="0.25">
      <c r="B12" s="29">
        <v>10</v>
      </c>
      <c r="C12" s="29" t="s">
        <v>296</v>
      </c>
      <c r="D12" s="29" t="s">
        <v>214</v>
      </c>
      <c r="E12" s="72"/>
    </row>
    <row r="13" spans="2:5" x14ac:dyDescent="0.25">
      <c r="B13" s="29">
        <v>11</v>
      </c>
      <c r="C13" s="29" t="s">
        <v>297</v>
      </c>
      <c r="D13" s="29" t="s">
        <v>201</v>
      </c>
      <c r="E13" s="72"/>
    </row>
    <row r="14" spans="2:5" x14ac:dyDescent="0.25">
      <c r="B14" s="29">
        <v>12</v>
      </c>
      <c r="C14" s="29" t="s">
        <v>298</v>
      </c>
      <c r="D14" s="29" t="s">
        <v>214</v>
      </c>
      <c r="E14" s="72"/>
    </row>
    <row r="15" spans="2:5" x14ac:dyDescent="0.25">
      <c r="B15" s="29">
        <v>13</v>
      </c>
      <c r="C15" s="29" t="s">
        <v>299</v>
      </c>
      <c r="D15" s="29" t="s">
        <v>214</v>
      </c>
      <c r="E15" s="72"/>
    </row>
    <row r="16" spans="2:5" x14ac:dyDescent="0.25">
      <c r="B16" s="29">
        <v>14</v>
      </c>
      <c r="C16" s="29" t="s">
        <v>300</v>
      </c>
      <c r="D16" s="29" t="s">
        <v>214</v>
      </c>
      <c r="E16" s="72"/>
    </row>
    <row r="17" spans="2:7" x14ac:dyDescent="0.25">
      <c r="B17" s="29">
        <v>15</v>
      </c>
      <c r="C17" s="29" t="s">
        <v>301</v>
      </c>
      <c r="D17" s="29" t="s">
        <v>214</v>
      </c>
      <c r="E17" s="72"/>
    </row>
    <row r="18" spans="2:7" x14ac:dyDescent="0.25">
      <c r="B18" s="29">
        <v>16</v>
      </c>
      <c r="C18" s="29" t="s">
        <v>302</v>
      </c>
      <c r="D18" s="29" t="s">
        <v>201</v>
      </c>
      <c r="E18" s="72"/>
    </row>
    <row r="19" spans="2:7" x14ac:dyDescent="0.25">
      <c r="B19" s="29">
        <v>17</v>
      </c>
      <c r="C19" s="29" t="s">
        <v>303</v>
      </c>
      <c r="D19" s="29" t="s">
        <v>240</v>
      </c>
      <c r="E19" s="72"/>
    </row>
    <row r="20" spans="2:7" x14ac:dyDescent="0.25">
      <c r="B20" s="29">
        <v>18</v>
      </c>
      <c r="C20" s="29" t="s">
        <v>304</v>
      </c>
      <c r="D20" s="29" t="s">
        <v>214</v>
      </c>
      <c r="E20" s="72"/>
    </row>
    <row r="21" spans="2:7" x14ac:dyDescent="0.25">
      <c r="B21" s="29">
        <v>19</v>
      </c>
      <c r="C21" s="29" t="s">
        <v>305</v>
      </c>
      <c r="D21" s="29" t="s">
        <v>214</v>
      </c>
      <c r="E21" s="72"/>
      <c r="G21" s="73"/>
    </row>
    <row r="22" spans="2:7" x14ac:dyDescent="0.25">
      <c r="B22" s="29">
        <v>20</v>
      </c>
      <c r="C22" s="36" t="s">
        <v>306</v>
      </c>
      <c r="D22" s="36" t="s">
        <v>201</v>
      </c>
      <c r="E22" s="74"/>
    </row>
    <row r="23" spans="2:7" x14ac:dyDescent="0.25">
      <c r="B23" s="29">
        <v>21</v>
      </c>
      <c r="C23" s="36" t="s">
        <v>307</v>
      </c>
      <c r="D23" s="36" t="s">
        <v>164</v>
      </c>
      <c r="E23" s="74"/>
    </row>
    <row r="24" spans="2:7" x14ac:dyDescent="0.25">
      <c r="B24" s="29">
        <v>22</v>
      </c>
      <c r="C24" s="36" t="s">
        <v>308</v>
      </c>
      <c r="D24" s="36" t="s">
        <v>214</v>
      </c>
      <c r="E24" s="74"/>
    </row>
    <row r="25" spans="2:7" x14ac:dyDescent="0.25">
      <c r="B25" s="29">
        <v>23</v>
      </c>
      <c r="C25" s="36" t="s">
        <v>309</v>
      </c>
      <c r="D25" s="36" t="s">
        <v>214</v>
      </c>
      <c r="E25" s="74"/>
    </row>
    <row r="26" spans="2:7" x14ac:dyDescent="0.25">
      <c r="B26" s="29">
        <v>24</v>
      </c>
      <c r="C26" s="36" t="s">
        <v>310</v>
      </c>
      <c r="D26" s="36" t="s">
        <v>240</v>
      </c>
      <c r="E26" s="74"/>
    </row>
    <row r="27" spans="2:7" x14ac:dyDescent="0.25">
      <c r="B27" s="29">
        <v>25</v>
      </c>
      <c r="C27" s="36" t="s">
        <v>311</v>
      </c>
      <c r="D27" s="36" t="s">
        <v>201</v>
      </c>
      <c r="E27" s="74"/>
    </row>
    <row r="28" spans="2:7" x14ac:dyDescent="0.25">
      <c r="B28" s="29">
        <v>26</v>
      </c>
      <c r="C28" s="36" t="s">
        <v>312</v>
      </c>
      <c r="D28" s="36" t="s">
        <v>214</v>
      </c>
      <c r="E28" s="74"/>
    </row>
    <row r="29" spans="2:7" ht="15.75" thickBot="1" x14ac:dyDescent="0.3">
      <c r="B29" s="29">
        <v>27</v>
      </c>
      <c r="C29" s="69" t="s">
        <v>313</v>
      </c>
      <c r="D29" s="69" t="s">
        <v>214</v>
      </c>
      <c r="E29" s="75"/>
    </row>
    <row r="30" spans="2:7" ht="19.5" thickBot="1" x14ac:dyDescent="0.35">
      <c r="B30" s="59" t="s">
        <v>127</v>
      </c>
      <c r="C30" s="60"/>
      <c r="D30" s="61"/>
      <c r="E30" s="76">
        <f>SUM(E3:E29)</f>
        <v>0</v>
      </c>
    </row>
    <row r="32" spans="2:7" x14ac:dyDescent="0.25">
      <c r="E32" s="73"/>
    </row>
  </sheetData>
  <mergeCells count="1">
    <mergeCell ref="B30:D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4E806-A4A4-4C4D-BC37-0A9BB6792273}">
  <dimension ref="B1:J42"/>
  <sheetViews>
    <sheetView workbookViewId="0">
      <selection activeCell="E1" sqref="E1"/>
    </sheetView>
  </sheetViews>
  <sheetFormatPr defaultRowHeight="15" x14ac:dyDescent="0.25"/>
  <cols>
    <col min="2" max="2" width="25" bestFit="1" customWidth="1"/>
    <col min="3" max="3" width="27" bestFit="1" customWidth="1"/>
    <col min="4" max="4" width="11.140625" bestFit="1" customWidth="1"/>
    <col min="5" max="5" width="16" style="1" bestFit="1" customWidth="1"/>
    <col min="6" max="6" width="13.28515625" style="1" bestFit="1" customWidth="1"/>
    <col min="7" max="7" width="15.140625" style="1" bestFit="1" customWidth="1"/>
    <col min="9" max="9" width="13.28515625" bestFit="1" customWidth="1"/>
    <col min="10" max="10" width="9.5703125" bestFit="1" customWidth="1"/>
  </cols>
  <sheetData>
    <row r="1" spans="2:10" ht="15.75" thickBot="1" x14ac:dyDescent="0.3"/>
    <row r="2" spans="2:10" ht="30.75" thickBot="1" x14ac:dyDescent="0.3">
      <c r="B2" s="77" t="s">
        <v>314</v>
      </c>
      <c r="C2" s="78"/>
      <c r="D2" s="79"/>
      <c r="E2" s="5" t="s">
        <v>1</v>
      </c>
      <c r="F2" s="80"/>
      <c r="G2" s="80"/>
    </row>
    <row r="3" spans="2:10" ht="15.75" thickBot="1" x14ac:dyDescent="0.3">
      <c r="B3" s="81" t="s">
        <v>315</v>
      </c>
      <c r="C3" s="82"/>
      <c r="D3" s="82"/>
      <c r="E3" s="83"/>
      <c r="I3" s="84"/>
      <c r="J3" s="84"/>
    </row>
    <row r="4" spans="2:10" ht="15.75" thickBot="1" x14ac:dyDescent="0.3">
      <c r="B4" s="81" t="s">
        <v>316</v>
      </c>
      <c r="C4" s="82"/>
      <c r="D4" s="82"/>
      <c r="E4" s="83"/>
      <c r="I4" s="85"/>
      <c r="J4" s="84"/>
    </row>
    <row r="5" spans="2:10" ht="15.75" thickBot="1" x14ac:dyDescent="0.3">
      <c r="B5" s="86"/>
      <c r="C5" s="86"/>
      <c r="D5" s="86"/>
      <c r="E5" s="87"/>
      <c r="I5" s="85"/>
      <c r="J5" s="84"/>
    </row>
    <row r="6" spans="2:10" x14ac:dyDescent="0.25">
      <c r="B6" s="88" t="s">
        <v>317</v>
      </c>
      <c r="C6" s="89" t="s">
        <v>16</v>
      </c>
      <c r="D6" s="90" t="s">
        <v>19</v>
      </c>
      <c r="E6" s="91"/>
      <c r="G6" s="35" t="s">
        <v>318</v>
      </c>
      <c r="H6" s="34" t="s">
        <v>319</v>
      </c>
      <c r="I6" s="92" t="s">
        <v>5</v>
      </c>
      <c r="J6" s="93" t="s">
        <v>64</v>
      </c>
    </row>
    <row r="7" spans="2:10" x14ac:dyDescent="0.25">
      <c r="B7" s="94"/>
      <c r="C7" s="34" t="s">
        <v>320</v>
      </c>
      <c r="D7" s="95"/>
      <c r="E7" s="96"/>
      <c r="G7" s="35" t="s">
        <v>321</v>
      </c>
      <c r="H7" s="34"/>
      <c r="I7" s="92"/>
      <c r="J7" s="93">
        <f>I7*H7</f>
        <v>0</v>
      </c>
    </row>
    <row r="8" spans="2:10" x14ac:dyDescent="0.25">
      <c r="B8" s="94"/>
      <c r="C8" s="34" t="s">
        <v>322</v>
      </c>
      <c r="D8" s="95"/>
      <c r="E8" s="96"/>
      <c r="G8" s="35" t="s">
        <v>130</v>
      </c>
      <c r="H8" s="34"/>
      <c r="I8" s="92"/>
      <c r="J8" s="93">
        <f t="shared" ref="J8:J18" si="0">I8*H8</f>
        <v>0</v>
      </c>
    </row>
    <row r="9" spans="2:10" x14ac:dyDescent="0.25">
      <c r="B9" s="94"/>
      <c r="C9" s="34" t="s">
        <v>323</v>
      </c>
      <c r="D9" s="95"/>
      <c r="E9" s="96"/>
      <c r="G9" s="35" t="s">
        <v>67</v>
      </c>
      <c r="H9" s="34"/>
      <c r="I9" s="92"/>
      <c r="J9" s="93">
        <f t="shared" si="0"/>
        <v>0</v>
      </c>
    </row>
    <row r="10" spans="2:10" x14ac:dyDescent="0.25">
      <c r="B10" s="94"/>
      <c r="C10" s="34" t="s">
        <v>324</v>
      </c>
      <c r="D10" s="95"/>
      <c r="E10" s="96"/>
      <c r="G10" s="35" t="s">
        <v>70</v>
      </c>
      <c r="H10" s="34"/>
      <c r="I10" s="92"/>
      <c r="J10" s="93">
        <f t="shared" si="0"/>
        <v>0</v>
      </c>
    </row>
    <row r="11" spans="2:10" x14ac:dyDescent="0.25">
      <c r="B11" s="94"/>
      <c r="C11" s="34" t="s">
        <v>325</v>
      </c>
      <c r="D11" s="95"/>
      <c r="E11" s="96"/>
      <c r="G11" s="35" t="s">
        <v>73</v>
      </c>
      <c r="H11" s="34"/>
      <c r="I11" s="92"/>
      <c r="J11" s="93">
        <f t="shared" si="0"/>
        <v>0</v>
      </c>
    </row>
    <row r="12" spans="2:10" x14ac:dyDescent="0.25">
      <c r="B12" s="94"/>
      <c r="C12" s="34" t="s">
        <v>326</v>
      </c>
      <c r="D12" s="95"/>
      <c r="E12" s="96"/>
      <c r="G12" s="35" t="s">
        <v>327</v>
      </c>
      <c r="H12" s="34"/>
      <c r="I12" s="92"/>
      <c r="J12" s="93">
        <f t="shared" si="0"/>
        <v>0</v>
      </c>
    </row>
    <row r="13" spans="2:10" x14ac:dyDescent="0.25">
      <c r="B13" s="94"/>
      <c r="C13" s="34" t="s">
        <v>328</v>
      </c>
      <c r="D13" s="95"/>
      <c r="E13" s="96"/>
      <c r="G13" s="35" t="s">
        <v>78</v>
      </c>
      <c r="H13" s="34"/>
      <c r="I13" s="92"/>
      <c r="J13" s="93">
        <f t="shared" si="0"/>
        <v>0</v>
      </c>
    </row>
    <row r="14" spans="2:10" x14ac:dyDescent="0.25">
      <c r="B14" s="94"/>
      <c r="C14" s="34" t="s">
        <v>329</v>
      </c>
      <c r="D14" s="95"/>
      <c r="E14" s="96"/>
      <c r="G14" s="35" t="s">
        <v>330</v>
      </c>
      <c r="H14" s="34"/>
      <c r="I14" s="92"/>
      <c r="J14" s="93">
        <f t="shared" si="0"/>
        <v>0</v>
      </c>
    </row>
    <row r="15" spans="2:10" x14ac:dyDescent="0.25">
      <c r="B15" s="94"/>
      <c r="C15" s="34" t="s">
        <v>331</v>
      </c>
      <c r="D15" s="95"/>
      <c r="E15" s="96"/>
      <c r="G15" s="35" t="s">
        <v>332</v>
      </c>
      <c r="H15" s="34"/>
      <c r="I15" s="92"/>
      <c r="J15" s="93">
        <f t="shared" si="0"/>
        <v>0</v>
      </c>
    </row>
    <row r="16" spans="2:10" x14ac:dyDescent="0.25">
      <c r="B16" s="94"/>
      <c r="C16" s="34" t="s">
        <v>333</v>
      </c>
      <c r="D16" s="95"/>
      <c r="E16" s="96"/>
      <c r="G16" s="35" t="s">
        <v>128</v>
      </c>
      <c r="H16" s="34"/>
      <c r="I16" s="92"/>
      <c r="J16" s="93">
        <f t="shared" si="0"/>
        <v>0</v>
      </c>
    </row>
    <row r="17" spans="2:10" x14ac:dyDescent="0.25">
      <c r="B17" s="94"/>
      <c r="C17" s="34" t="s">
        <v>334</v>
      </c>
      <c r="D17" s="95"/>
      <c r="E17" s="96"/>
      <c r="G17" s="35" t="s">
        <v>335</v>
      </c>
      <c r="H17" s="34"/>
      <c r="I17" s="92"/>
      <c r="J17" s="93">
        <f t="shared" si="0"/>
        <v>0</v>
      </c>
    </row>
    <row r="18" spans="2:10" x14ac:dyDescent="0.25">
      <c r="B18" s="94"/>
      <c r="C18" s="34" t="s">
        <v>336</v>
      </c>
      <c r="D18" s="95"/>
      <c r="E18" s="96"/>
      <c r="G18" s="35" t="s">
        <v>337</v>
      </c>
      <c r="H18" s="34"/>
      <c r="I18" s="92"/>
      <c r="J18" s="93">
        <f t="shared" si="0"/>
        <v>0</v>
      </c>
    </row>
    <row r="19" spans="2:10" x14ac:dyDescent="0.25">
      <c r="B19" s="94"/>
      <c r="C19" s="34" t="s">
        <v>338</v>
      </c>
      <c r="D19" s="95"/>
      <c r="E19" s="96"/>
      <c r="I19" s="97" t="s">
        <v>82</v>
      </c>
      <c r="J19" s="98">
        <f>SUM(J7:J18)</f>
        <v>0</v>
      </c>
    </row>
    <row r="20" spans="2:10" x14ac:dyDescent="0.25">
      <c r="B20" s="94"/>
      <c r="C20" s="34" t="s">
        <v>339</v>
      </c>
      <c r="D20" s="95"/>
      <c r="E20" s="96"/>
    </row>
    <row r="21" spans="2:10" x14ac:dyDescent="0.25">
      <c r="B21" s="94"/>
      <c r="C21" s="34" t="s">
        <v>340</v>
      </c>
      <c r="D21" s="95"/>
      <c r="E21" s="96"/>
    </row>
    <row r="22" spans="2:10" x14ac:dyDescent="0.25">
      <c r="B22" s="94"/>
      <c r="C22" s="34" t="s">
        <v>341</v>
      </c>
      <c r="D22" s="95"/>
      <c r="E22" s="96"/>
    </row>
    <row r="23" spans="2:10" x14ac:dyDescent="0.25">
      <c r="B23" s="94"/>
      <c r="C23" s="34" t="s">
        <v>318</v>
      </c>
      <c r="D23" s="95"/>
      <c r="E23" s="96"/>
    </row>
    <row r="24" spans="2:10" x14ac:dyDescent="0.25">
      <c r="B24" s="94"/>
      <c r="C24" s="34" t="s">
        <v>342</v>
      </c>
      <c r="D24" s="95"/>
      <c r="E24" s="96"/>
    </row>
    <row r="25" spans="2:10" x14ac:dyDescent="0.25">
      <c r="B25" s="94"/>
      <c r="C25" s="34" t="s">
        <v>343</v>
      </c>
      <c r="D25" s="95"/>
      <c r="E25" s="96"/>
    </row>
    <row r="26" spans="2:10" x14ac:dyDescent="0.25">
      <c r="B26" s="94"/>
      <c r="C26" s="34" t="s">
        <v>344</v>
      </c>
      <c r="D26" s="95"/>
      <c r="E26" s="96"/>
    </row>
    <row r="27" spans="2:10" s="1" customFormat="1" x14ac:dyDescent="0.25">
      <c r="B27" s="94"/>
      <c r="C27" s="35" t="s">
        <v>345</v>
      </c>
      <c r="D27" s="95"/>
      <c r="E27" s="96"/>
      <c r="H27"/>
      <c r="I27"/>
      <c r="J27"/>
    </row>
    <row r="28" spans="2:10" s="1" customFormat="1" x14ac:dyDescent="0.25">
      <c r="B28" s="94"/>
      <c r="C28" s="35" t="s">
        <v>346</v>
      </c>
      <c r="D28" s="95"/>
      <c r="E28" s="96"/>
      <c r="H28"/>
      <c r="I28"/>
      <c r="J28"/>
    </row>
    <row r="29" spans="2:10" s="1" customFormat="1" x14ac:dyDescent="0.25">
      <c r="B29" s="94"/>
      <c r="C29" s="99" t="s">
        <v>347</v>
      </c>
      <c r="D29" s="100"/>
      <c r="E29" s="101"/>
      <c r="H29"/>
      <c r="I29"/>
      <c r="J29"/>
    </row>
    <row r="30" spans="2:10" s="1" customFormat="1" x14ac:dyDescent="0.25">
      <c r="B30" s="94"/>
      <c r="C30" s="99" t="s">
        <v>348</v>
      </c>
      <c r="D30" s="100"/>
      <c r="E30" s="101"/>
      <c r="H30"/>
      <c r="I30"/>
      <c r="J30"/>
    </row>
    <row r="31" spans="2:10" s="1" customFormat="1" x14ac:dyDescent="0.25">
      <c r="B31" s="94"/>
      <c r="C31" s="99" t="s">
        <v>349</v>
      </c>
      <c r="D31" s="100"/>
      <c r="E31" s="101"/>
      <c r="H31"/>
      <c r="I31"/>
      <c r="J31"/>
    </row>
    <row r="32" spans="2:10" s="1" customFormat="1" x14ac:dyDescent="0.25">
      <c r="B32" s="94"/>
      <c r="C32" s="99" t="s">
        <v>350</v>
      </c>
      <c r="D32" s="100"/>
      <c r="E32" s="101"/>
      <c r="H32"/>
      <c r="I32"/>
      <c r="J32"/>
    </row>
    <row r="33" spans="2:10" s="1" customFormat="1" ht="15.75" thickBot="1" x14ac:dyDescent="0.3">
      <c r="B33" s="102"/>
      <c r="C33" s="103"/>
      <c r="D33" s="104"/>
      <c r="E33" s="105">
        <f>SUM(E7:E32)</f>
        <v>0</v>
      </c>
      <c r="H33"/>
      <c r="I33"/>
      <c r="J33"/>
    </row>
    <row r="34" spans="2:10" s="1" customFormat="1" ht="15.75" thickBot="1" x14ac:dyDescent="0.3">
      <c r="B34" s="86"/>
      <c r="C34" s="86"/>
      <c r="D34" s="86"/>
      <c r="E34" s="87"/>
      <c r="H34"/>
      <c r="I34"/>
      <c r="J34"/>
    </row>
    <row r="35" spans="2:10" s="1" customFormat="1" ht="15.75" thickBot="1" x14ac:dyDescent="0.3">
      <c r="B35" s="81" t="s">
        <v>351</v>
      </c>
      <c r="C35" s="82"/>
      <c r="D35" s="82"/>
      <c r="E35" s="83"/>
      <c r="H35"/>
      <c r="I35"/>
      <c r="J35"/>
    </row>
    <row r="36" spans="2:10" s="1" customFormat="1" ht="15.75" thickBot="1" x14ac:dyDescent="0.3">
      <c r="B36" s="81" t="s">
        <v>352</v>
      </c>
      <c r="C36" s="82"/>
      <c r="D36" s="82"/>
      <c r="E36" s="83"/>
      <c r="H36"/>
      <c r="I36"/>
      <c r="J36"/>
    </row>
    <row r="37" spans="2:10" s="1" customFormat="1" ht="15.75" thickBot="1" x14ac:dyDescent="0.3">
      <c r="B37" s="81" t="s">
        <v>353</v>
      </c>
      <c r="C37" s="82"/>
      <c r="D37" s="82"/>
      <c r="E37" s="83"/>
      <c r="H37"/>
      <c r="I37"/>
      <c r="J37"/>
    </row>
    <row r="38" spans="2:10" s="1" customFormat="1" ht="15.75" thickBot="1" x14ac:dyDescent="0.3">
      <c r="B38" s="81" t="s">
        <v>354</v>
      </c>
      <c r="C38" s="82"/>
      <c r="D38" s="82"/>
      <c r="E38" s="83"/>
      <c r="H38"/>
      <c r="I38"/>
      <c r="J38"/>
    </row>
    <row r="39" spans="2:10" s="1" customFormat="1" ht="15.75" thickBot="1" x14ac:dyDescent="0.3">
      <c r="B39" s="81" t="s">
        <v>355</v>
      </c>
      <c r="C39" s="82"/>
      <c r="D39" s="82"/>
      <c r="E39" s="83"/>
      <c r="H39"/>
      <c r="I39"/>
      <c r="J39"/>
    </row>
    <row r="40" spans="2:10" s="1" customFormat="1" ht="15.75" thickBot="1" x14ac:dyDescent="0.3">
      <c r="B40" s="81" t="s">
        <v>356</v>
      </c>
      <c r="C40" s="82"/>
      <c r="D40" s="82"/>
      <c r="E40" s="83"/>
      <c r="H40"/>
      <c r="I40"/>
      <c r="J40"/>
    </row>
    <row r="41" spans="2:10" s="1" customFormat="1" ht="15.75" thickBot="1" x14ac:dyDescent="0.3">
      <c r="B41"/>
      <c r="C41"/>
      <c r="D41"/>
      <c r="H41"/>
      <c r="I41"/>
      <c r="J41"/>
    </row>
    <row r="42" spans="2:10" s="1" customFormat="1" ht="19.5" thickBot="1" x14ac:dyDescent="0.35">
      <c r="B42" s="59" t="s">
        <v>357</v>
      </c>
      <c r="C42" s="60"/>
      <c r="D42" s="61"/>
      <c r="E42" s="62">
        <f>SUM(E35:E40,E33,E4,E3)</f>
        <v>0</v>
      </c>
      <c r="H42"/>
      <c r="I42"/>
      <c r="J42"/>
    </row>
  </sheetData>
  <mergeCells count="2">
    <mergeCell ref="B2:D2"/>
    <mergeCell ref="B42:D4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A04C2-ADA1-4087-A746-A544D47E67BA}">
  <dimension ref="B1:N117"/>
  <sheetViews>
    <sheetView tabSelected="1" zoomScaleNormal="100" workbookViewId="0">
      <selection activeCell="B2" sqref="B2:F2"/>
    </sheetView>
  </sheetViews>
  <sheetFormatPr defaultRowHeight="15" x14ac:dyDescent="0.25"/>
  <cols>
    <col min="2" max="2" width="15.5703125" bestFit="1" customWidth="1"/>
    <col min="3" max="3" width="7.7109375" bestFit="1" customWidth="1"/>
    <col min="4" max="4" width="13.42578125" bestFit="1" customWidth="1"/>
    <col min="5" max="5" width="11.140625" bestFit="1" customWidth="1"/>
    <col min="6" max="6" width="12.140625" bestFit="1" customWidth="1"/>
    <col min="7" max="7" width="15.140625" style="1" bestFit="1" customWidth="1"/>
    <col min="11" max="11" width="14.140625" bestFit="1" customWidth="1"/>
    <col min="12" max="12" width="12.28515625" style="1" bestFit="1" customWidth="1"/>
    <col min="13" max="13" width="8.140625" style="1" bestFit="1" customWidth="1"/>
    <col min="14" max="14" width="11.5703125" style="1" bestFit="1" customWidth="1"/>
  </cols>
  <sheetData>
    <row r="1" spans="2:7" ht="15.75" thickBot="1" x14ac:dyDescent="0.3"/>
    <row r="2" spans="2:7" ht="30.75" thickBot="1" x14ac:dyDescent="0.3">
      <c r="B2" s="2" t="s">
        <v>0</v>
      </c>
      <c r="C2" s="3"/>
      <c r="D2" s="3"/>
      <c r="E2" s="3"/>
      <c r="F2" s="4"/>
      <c r="G2" s="5" t="s">
        <v>1</v>
      </c>
    </row>
    <row r="3" spans="2:7" ht="15.75" thickBot="1" x14ac:dyDescent="0.3">
      <c r="B3" s="6" t="s">
        <v>2</v>
      </c>
      <c r="C3" s="7"/>
      <c r="D3" s="7" t="s">
        <v>3</v>
      </c>
      <c r="E3" s="7" t="s">
        <v>4</v>
      </c>
      <c r="F3" s="7" t="s">
        <v>5</v>
      </c>
      <c r="G3" s="8" t="s">
        <v>6</v>
      </c>
    </row>
    <row r="4" spans="2:7" x14ac:dyDescent="0.25">
      <c r="B4" s="9" t="s">
        <v>7</v>
      </c>
      <c r="C4" s="10"/>
      <c r="D4" s="10"/>
      <c r="E4" s="10">
        <v>25</v>
      </c>
      <c r="F4" s="10"/>
      <c r="G4" s="11">
        <f>F4*D4*E4</f>
        <v>0</v>
      </c>
    </row>
    <row r="5" spans="2:7" x14ac:dyDescent="0.25">
      <c r="B5" s="12" t="s">
        <v>8</v>
      </c>
      <c r="C5" s="13"/>
      <c r="D5" s="13"/>
      <c r="E5" s="13">
        <v>25</v>
      </c>
      <c r="F5" s="13"/>
      <c r="G5" s="14">
        <f t="shared" ref="G5:G10" si="0">F5*D5*E5</f>
        <v>0</v>
      </c>
    </row>
    <row r="6" spans="2:7" x14ac:dyDescent="0.25">
      <c r="B6" s="12" t="s">
        <v>9</v>
      </c>
      <c r="C6" s="13"/>
      <c r="D6" s="13"/>
      <c r="E6" s="13">
        <v>25</v>
      </c>
      <c r="F6" s="13"/>
      <c r="G6" s="14">
        <f t="shared" si="0"/>
        <v>0</v>
      </c>
    </row>
    <row r="7" spans="2:7" x14ac:dyDescent="0.25">
      <c r="B7" s="12" t="s">
        <v>10</v>
      </c>
      <c r="C7" s="13"/>
      <c r="D7" s="13"/>
      <c r="E7" s="13">
        <v>25</v>
      </c>
      <c r="F7" s="13"/>
      <c r="G7" s="14">
        <f t="shared" si="0"/>
        <v>0</v>
      </c>
    </row>
    <row r="8" spans="2:7" x14ac:dyDescent="0.25">
      <c r="B8" s="12" t="s">
        <v>11</v>
      </c>
      <c r="C8" s="13"/>
      <c r="D8" s="13"/>
      <c r="E8" s="13">
        <v>25</v>
      </c>
      <c r="F8" s="13"/>
      <c r="G8" s="14">
        <f t="shared" si="0"/>
        <v>0</v>
      </c>
    </row>
    <row r="9" spans="2:7" x14ac:dyDescent="0.25">
      <c r="B9" s="15" t="s">
        <v>12</v>
      </c>
      <c r="C9" s="16"/>
      <c r="D9" s="16"/>
      <c r="E9" s="13">
        <v>25</v>
      </c>
      <c r="F9" s="13"/>
      <c r="G9" s="14">
        <f t="shared" si="0"/>
        <v>0</v>
      </c>
    </row>
    <row r="10" spans="2:7" ht="15.75" thickBot="1" x14ac:dyDescent="0.3">
      <c r="B10" s="17" t="s">
        <v>13</v>
      </c>
      <c r="C10" s="18" t="s">
        <v>14</v>
      </c>
      <c r="D10" s="19"/>
      <c r="E10" s="19">
        <v>25</v>
      </c>
      <c r="F10" s="19"/>
      <c r="G10" s="20">
        <f t="shared" si="0"/>
        <v>0</v>
      </c>
    </row>
    <row r="11" spans="2:7" ht="15.75" thickBot="1" x14ac:dyDescent="0.3">
      <c r="B11" s="21"/>
      <c r="C11" s="21"/>
      <c r="D11" s="21"/>
      <c r="E11" s="21"/>
      <c r="F11" s="21"/>
      <c r="G11" s="22">
        <f>SUM(G4:G10)</f>
        <v>0</v>
      </c>
    </row>
    <row r="12" spans="2:7" ht="15.75" thickBot="1" x14ac:dyDescent="0.3">
      <c r="B12" s="21"/>
      <c r="C12" s="21"/>
      <c r="D12" s="21"/>
      <c r="E12" s="21"/>
      <c r="F12" s="21"/>
      <c r="G12" s="23"/>
    </row>
    <row r="13" spans="2:7" ht="30.75" thickBot="1" x14ac:dyDescent="0.3">
      <c r="B13" s="2" t="s">
        <v>15</v>
      </c>
      <c r="C13" s="3"/>
      <c r="D13" s="3"/>
      <c r="E13" s="3"/>
      <c r="F13" s="4"/>
      <c r="G13" s="5" t="s">
        <v>1</v>
      </c>
    </row>
    <row r="14" spans="2:7" ht="15.75" thickBot="1" x14ac:dyDescent="0.3">
      <c r="B14" s="6" t="s">
        <v>16</v>
      </c>
      <c r="C14" s="7" t="s">
        <v>17</v>
      </c>
      <c r="D14" s="7" t="s">
        <v>18</v>
      </c>
      <c r="E14" s="7" t="s">
        <v>19</v>
      </c>
      <c r="F14" s="7" t="s">
        <v>20</v>
      </c>
      <c r="G14" s="8" t="s">
        <v>6</v>
      </c>
    </row>
    <row r="15" spans="2:7" x14ac:dyDescent="0.25">
      <c r="B15" s="24" t="s">
        <v>21</v>
      </c>
      <c r="C15" s="24" t="s">
        <v>22</v>
      </c>
      <c r="D15" s="25"/>
      <c r="E15" s="25">
        <f>D15*12</f>
        <v>0</v>
      </c>
      <c r="F15" s="26"/>
      <c r="G15" s="27">
        <f>F15*E15</f>
        <v>0</v>
      </c>
    </row>
    <row r="16" spans="2:7" x14ac:dyDescent="0.25">
      <c r="B16" s="28" t="s">
        <v>21</v>
      </c>
      <c r="C16" s="28" t="s">
        <v>23</v>
      </c>
      <c r="D16" s="29"/>
      <c r="E16" s="29">
        <f t="shared" ref="E16:E69" si="1">D16*12</f>
        <v>0</v>
      </c>
      <c r="F16" s="30"/>
      <c r="G16" s="31">
        <f t="shared" ref="G16:G69" si="2">F16*E16</f>
        <v>0</v>
      </c>
    </row>
    <row r="17" spans="2:7" x14ac:dyDescent="0.25">
      <c r="B17" s="28" t="s">
        <v>21</v>
      </c>
      <c r="C17" s="28" t="s">
        <v>24</v>
      </c>
      <c r="D17" s="29"/>
      <c r="E17" s="29">
        <f t="shared" si="1"/>
        <v>0</v>
      </c>
      <c r="F17" s="30"/>
      <c r="G17" s="31">
        <f t="shared" si="2"/>
        <v>0</v>
      </c>
    </row>
    <row r="18" spans="2:7" x14ac:dyDescent="0.25">
      <c r="B18" s="28" t="s">
        <v>21</v>
      </c>
      <c r="C18" s="28" t="s">
        <v>25</v>
      </c>
      <c r="D18" s="29"/>
      <c r="E18" s="29">
        <f t="shared" si="1"/>
        <v>0</v>
      </c>
      <c r="F18" s="30"/>
      <c r="G18" s="31">
        <f t="shared" si="2"/>
        <v>0</v>
      </c>
    </row>
    <row r="19" spans="2:7" x14ac:dyDescent="0.25">
      <c r="B19" s="28" t="s">
        <v>26</v>
      </c>
      <c r="C19" s="28" t="s">
        <v>22</v>
      </c>
      <c r="D19" s="29"/>
      <c r="E19" s="29">
        <f t="shared" si="1"/>
        <v>0</v>
      </c>
      <c r="F19" s="30"/>
      <c r="G19" s="31">
        <f t="shared" si="2"/>
        <v>0</v>
      </c>
    </row>
    <row r="20" spans="2:7" x14ac:dyDescent="0.25">
      <c r="B20" s="28" t="s">
        <v>26</v>
      </c>
      <c r="C20" s="28" t="s">
        <v>23</v>
      </c>
      <c r="D20" s="29"/>
      <c r="E20" s="29">
        <f t="shared" si="1"/>
        <v>0</v>
      </c>
      <c r="F20" s="30"/>
      <c r="G20" s="31">
        <f t="shared" si="2"/>
        <v>0</v>
      </c>
    </row>
    <row r="21" spans="2:7" x14ac:dyDescent="0.25">
      <c r="B21" s="28" t="s">
        <v>27</v>
      </c>
      <c r="C21" s="28" t="s">
        <v>22</v>
      </c>
      <c r="D21" s="29"/>
      <c r="E21" s="29">
        <f t="shared" si="1"/>
        <v>0</v>
      </c>
      <c r="F21" s="30"/>
      <c r="G21" s="31">
        <f t="shared" si="2"/>
        <v>0</v>
      </c>
    </row>
    <row r="22" spans="2:7" x14ac:dyDescent="0.25">
      <c r="B22" s="28" t="s">
        <v>27</v>
      </c>
      <c r="C22" s="28" t="s">
        <v>23</v>
      </c>
      <c r="D22" s="29"/>
      <c r="E22" s="29">
        <f t="shared" si="1"/>
        <v>0</v>
      </c>
      <c r="F22" s="30"/>
      <c r="G22" s="31">
        <f t="shared" si="2"/>
        <v>0</v>
      </c>
    </row>
    <row r="23" spans="2:7" x14ac:dyDescent="0.25">
      <c r="B23" s="28" t="s">
        <v>28</v>
      </c>
      <c r="C23" s="28" t="s">
        <v>23</v>
      </c>
      <c r="D23" s="29"/>
      <c r="E23" s="29">
        <f t="shared" si="1"/>
        <v>0</v>
      </c>
      <c r="F23" s="30"/>
      <c r="G23" s="31">
        <f t="shared" si="2"/>
        <v>0</v>
      </c>
    </row>
    <row r="24" spans="2:7" x14ac:dyDescent="0.25">
      <c r="B24" s="28" t="s">
        <v>29</v>
      </c>
      <c r="C24" s="28" t="s">
        <v>22</v>
      </c>
      <c r="D24" s="29"/>
      <c r="E24" s="29">
        <f t="shared" si="1"/>
        <v>0</v>
      </c>
      <c r="F24" s="30"/>
      <c r="G24" s="31">
        <f t="shared" si="2"/>
        <v>0</v>
      </c>
    </row>
    <row r="25" spans="2:7" x14ac:dyDescent="0.25">
      <c r="B25" s="28" t="s">
        <v>29</v>
      </c>
      <c r="C25" s="28" t="s">
        <v>23</v>
      </c>
      <c r="D25" s="29"/>
      <c r="E25" s="29">
        <f t="shared" si="1"/>
        <v>0</v>
      </c>
      <c r="F25" s="30"/>
      <c r="G25" s="31">
        <f t="shared" si="2"/>
        <v>0</v>
      </c>
    </row>
    <row r="26" spans="2:7" x14ac:dyDescent="0.25">
      <c r="B26" s="28" t="s">
        <v>30</v>
      </c>
      <c r="C26" s="28" t="s">
        <v>31</v>
      </c>
      <c r="D26" s="29"/>
      <c r="E26" s="29">
        <f t="shared" si="1"/>
        <v>0</v>
      </c>
      <c r="F26" s="30"/>
      <c r="G26" s="31">
        <f t="shared" si="2"/>
        <v>0</v>
      </c>
    </row>
    <row r="27" spans="2:7" x14ac:dyDescent="0.25">
      <c r="B27" s="28" t="s">
        <v>32</v>
      </c>
      <c r="C27" s="28" t="s">
        <v>31</v>
      </c>
      <c r="D27" s="29"/>
      <c r="E27" s="29">
        <f t="shared" si="1"/>
        <v>0</v>
      </c>
      <c r="F27" s="30"/>
      <c r="G27" s="31">
        <f t="shared" si="2"/>
        <v>0</v>
      </c>
    </row>
    <row r="28" spans="2:7" x14ac:dyDescent="0.25">
      <c r="B28" s="28" t="s">
        <v>33</v>
      </c>
      <c r="C28" s="28" t="s">
        <v>31</v>
      </c>
      <c r="D28" s="29"/>
      <c r="E28" s="29">
        <f t="shared" si="1"/>
        <v>0</v>
      </c>
      <c r="F28" s="30"/>
      <c r="G28" s="31">
        <f t="shared" si="2"/>
        <v>0</v>
      </c>
    </row>
    <row r="29" spans="2:7" x14ac:dyDescent="0.25">
      <c r="B29" s="28" t="s">
        <v>34</v>
      </c>
      <c r="C29" s="28" t="s">
        <v>31</v>
      </c>
      <c r="D29" s="29"/>
      <c r="E29" s="29">
        <f t="shared" si="1"/>
        <v>0</v>
      </c>
      <c r="F29" s="30"/>
      <c r="G29" s="31">
        <f t="shared" si="2"/>
        <v>0</v>
      </c>
    </row>
    <row r="30" spans="2:7" x14ac:dyDescent="0.25">
      <c r="B30" s="28" t="s">
        <v>35</v>
      </c>
      <c r="C30" s="28" t="s">
        <v>31</v>
      </c>
      <c r="D30" s="29"/>
      <c r="E30" s="29">
        <f t="shared" si="1"/>
        <v>0</v>
      </c>
      <c r="F30" s="30"/>
      <c r="G30" s="31">
        <f t="shared" si="2"/>
        <v>0</v>
      </c>
    </row>
    <row r="31" spans="2:7" x14ac:dyDescent="0.25">
      <c r="B31" s="28" t="s">
        <v>36</v>
      </c>
      <c r="C31" s="28" t="s">
        <v>31</v>
      </c>
      <c r="D31" s="29"/>
      <c r="E31" s="29">
        <f t="shared" si="1"/>
        <v>0</v>
      </c>
      <c r="F31" s="30"/>
      <c r="G31" s="31">
        <f t="shared" si="2"/>
        <v>0</v>
      </c>
    </row>
    <row r="32" spans="2:7" x14ac:dyDescent="0.25">
      <c r="B32" s="28" t="s">
        <v>37</v>
      </c>
      <c r="C32" s="28" t="s">
        <v>31</v>
      </c>
      <c r="D32" s="29"/>
      <c r="E32" s="29">
        <v>0</v>
      </c>
      <c r="F32" s="30"/>
      <c r="G32" s="31">
        <f t="shared" si="2"/>
        <v>0</v>
      </c>
    </row>
    <row r="33" spans="2:7" x14ac:dyDescent="0.25">
      <c r="B33" s="28" t="s">
        <v>38</v>
      </c>
      <c r="C33" s="28" t="s">
        <v>31</v>
      </c>
      <c r="D33" s="29"/>
      <c r="E33" s="29">
        <f t="shared" ref="E33" si="3">D33*12</f>
        <v>0</v>
      </c>
      <c r="F33" s="30"/>
      <c r="G33" s="31">
        <f t="shared" si="2"/>
        <v>0</v>
      </c>
    </row>
    <row r="34" spans="2:7" x14ac:dyDescent="0.25">
      <c r="B34" s="28" t="s">
        <v>39</v>
      </c>
      <c r="C34" s="28" t="s">
        <v>23</v>
      </c>
      <c r="D34" s="29"/>
      <c r="E34" s="29">
        <f t="shared" si="1"/>
        <v>0</v>
      </c>
      <c r="F34" s="30"/>
      <c r="G34" s="31">
        <f t="shared" si="2"/>
        <v>0</v>
      </c>
    </row>
    <row r="35" spans="2:7" x14ac:dyDescent="0.25">
      <c r="B35" s="28" t="s">
        <v>40</v>
      </c>
      <c r="C35" s="28" t="s">
        <v>23</v>
      </c>
      <c r="D35" s="29"/>
      <c r="E35" s="29">
        <f t="shared" si="1"/>
        <v>0</v>
      </c>
      <c r="F35" s="30"/>
      <c r="G35" s="31">
        <f t="shared" si="2"/>
        <v>0</v>
      </c>
    </row>
    <row r="36" spans="2:7" x14ac:dyDescent="0.25">
      <c r="B36" s="28" t="s">
        <v>41</v>
      </c>
      <c r="C36" s="28" t="s">
        <v>23</v>
      </c>
      <c r="D36" s="29"/>
      <c r="E36" s="29">
        <f t="shared" si="1"/>
        <v>0</v>
      </c>
      <c r="F36" s="30"/>
      <c r="G36" s="31">
        <f t="shared" si="2"/>
        <v>0</v>
      </c>
    </row>
    <row r="37" spans="2:7" x14ac:dyDescent="0.25">
      <c r="B37" s="28" t="s">
        <v>42</v>
      </c>
      <c r="C37" s="28" t="s">
        <v>23</v>
      </c>
      <c r="D37" s="29"/>
      <c r="E37" s="29">
        <f t="shared" si="1"/>
        <v>0</v>
      </c>
      <c r="F37" s="30"/>
      <c r="G37" s="31">
        <f t="shared" si="2"/>
        <v>0</v>
      </c>
    </row>
    <row r="38" spans="2:7" x14ac:dyDescent="0.25">
      <c r="B38" s="28" t="s">
        <v>43</v>
      </c>
      <c r="C38" s="28" t="s">
        <v>23</v>
      </c>
      <c r="D38" s="29"/>
      <c r="E38" s="29">
        <f t="shared" si="1"/>
        <v>0</v>
      </c>
      <c r="F38" s="30"/>
      <c r="G38" s="31">
        <f t="shared" si="2"/>
        <v>0</v>
      </c>
    </row>
    <row r="39" spans="2:7" x14ac:dyDescent="0.25">
      <c r="B39" s="28" t="s">
        <v>44</v>
      </c>
      <c r="C39" s="28" t="s">
        <v>23</v>
      </c>
      <c r="D39" s="29"/>
      <c r="E39" s="29">
        <f t="shared" si="1"/>
        <v>0</v>
      </c>
      <c r="F39" s="30"/>
      <c r="G39" s="31">
        <f t="shared" si="2"/>
        <v>0</v>
      </c>
    </row>
    <row r="40" spans="2:7" x14ac:dyDescent="0.25">
      <c r="B40" s="28" t="s">
        <v>45</v>
      </c>
      <c r="C40" s="28" t="s">
        <v>23</v>
      </c>
      <c r="D40" s="29"/>
      <c r="E40" s="29">
        <f t="shared" si="1"/>
        <v>0</v>
      </c>
      <c r="F40" s="30"/>
      <c r="G40" s="31">
        <f t="shared" si="2"/>
        <v>0</v>
      </c>
    </row>
    <row r="41" spans="2:7" x14ac:dyDescent="0.25">
      <c r="B41" s="28" t="s">
        <v>46</v>
      </c>
      <c r="C41" s="28" t="s">
        <v>23</v>
      </c>
      <c r="D41" s="29"/>
      <c r="E41" s="29">
        <f t="shared" si="1"/>
        <v>0</v>
      </c>
      <c r="F41" s="30"/>
      <c r="G41" s="31">
        <f t="shared" si="2"/>
        <v>0</v>
      </c>
    </row>
    <row r="42" spans="2:7" x14ac:dyDescent="0.25">
      <c r="B42" s="28" t="s">
        <v>47</v>
      </c>
      <c r="C42" s="28" t="s">
        <v>23</v>
      </c>
      <c r="D42" s="29"/>
      <c r="E42" s="29">
        <f t="shared" si="1"/>
        <v>0</v>
      </c>
      <c r="F42" s="30"/>
      <c r="G42" s="31">
        <f t="shared" si="2"/>
        <v>0</v>
      </c>
    </row>
    <row r="43" spans="2:7" x14ac:dyDescent="0.25">
      <c r="B43" s="28" t="s">
        <v>48</v>
      </c>
      <c r="C43" s="28" t="s">
        <v>23</v>
      </c>
      <c r="D43" s="29"/>
      <c r="E43" s="29">
        <f t="shared" si="1"/>
        <v>0</v>
      </c>
      <c r="F43" s="30"/>
      <c r="G43" s="31">
        <f t="shared" si="2"/>
        <v>0</v>
      </c>
    </row>
    <row r="44" spans="2:7" x14ac:dyDescent="0.25">
      <c r="B44" s="28" t="s">
        <v>49</v>
      </c>
      <c r="C44" s="28" t="s">
        <v>23</v>
      </c>
      <c r="D44" s="29"/>
      <c r="E44" s="29">
        <f t="shared" si="1"/>
        <v>0</v>
      </c>
      <c r="F44" s="30"/>
      <c r="G44" s="31">
        <f t="shared" si="2"/>
        <v>0</v>
      </c>
    </row>
    <row r="45" spans="2:7" x14ac:dyDescent="0.25">
      <c r="B45" s="28" t="s">
        <v>50</v>
      </c>
      <c r="C45" s="28" t="s">
        <v>23</v>
      </c>
      <c r="D45" s="29"/>
      <c r="E45" s="29">
        <f t="shared" si="1"/>
        <v>0</v>
      </c>
      <c r="F45" s="30"/>
      <c r="G45" s="31">
        <f t="shared" si="2"/>
        <v>0</v>
      </c>
    </row>
    <row r="46" spans="2:7" x14ac:dyDescent="0.25">
      <c r="B46" s="28" t="s">
        <v>50</v>
      </c>
      <c r="C46" s="28" t="s">
        <v>24</v>
      </c>
      <c r="D46" s="29"/>
      <c r="E46" s="29">
        <f t="shared" si="1"/>
        <v>0</v>
      </c>
      <c r="F46" s="30"/>
      <c r="G46" s="31">
        <f t="shared" si="2"/>
        <v>0</v>
      </c>
    </row>
    <row r="47" spans="2:7" x14ac:dyDescent="0.25">
      <c r="B47" s="28" t="s">
        <v>50</v>
      </c>
      <c r="C47" s="28" t="s">
        <v>25</v>
      </c>
      <c r="D47" s="29"/>
      <c r="E47" s="29">
        <f t="shared" si="1"/>
        <v>0</v>
      </c>
      <c r="F47" s="30"/>
      <c r="G47" s="31">
        <f t="shared" si="2"/>
        <v>0</v>
      </c>
    </row>
    <row r="48" spans="2:7" x14ac:dyDescent="0.25">
      <c r="B48" s="28" t="s">
        <v>51</v>
      </c>
      <c r="C48" s="28" t="s">
        <v>23</v>
      </c>
      <c r="D48" s="29"/>
      <c r="E48" s="29">
        <f t="shared" si="1"/>
        <v>0</v>
      </c>
      <c r="F48" s="30"/>
      <c r="G48" s="31">
        <f t="shared" si="2"/>
        <v>0</v>
      </c>
    </row>
    <row r="49" spans="2:14" x14ac:dyDescent="0.25">
      <c r="B49" s="28" t="s">
        <v>52</v>
      </c>
      <c r="C49" s="28" t="s">
        <v>23</v>
      </c>
      <c r="D49" s="29"/>
      <c r="E49" s="29">
        <f t="shared" si="1"/>
        <v>0</v>
      </c>
      <c r="F49" s="30"/>
      <c r="G49" s="31">
        <f t="shared" si="2"/>
        <v>0</v>
      </c>
    </row>
    <row r="50" spans="2:14" x14ac:dyDescent="0.25">
      <c r="B50" s="28" t="s">
        <v>53</v>
      </c>
      <c r="C50" s="28" t="s">
        <v>23</v>
      </c>
      <c r="D50" s="29"/>
      <c r="E50" s="29">
        <f t="shared" si="1"/>
        <v>0</v>
      </c>
      <c r="F50" s="30"/>
      <c r="G50" s="31">
        <f t="shared" si="2"/>
        <v>0</v>
      </c>
    </row>
    <row r="51" spans="2:14" x14ac:dyDescent="0.25">
      <c r="B51" s="28" t="s">
        <v>53</v>
      </c>
      <c r="C51" s="28" t="s">
        <v>24</v>
      </c>
      <c r="D51" s="29"/>
      <c r="E51" s="29">
        <f t="shared" si="1"/>
        <v>0</v>
      </c>
      <c r="F51" s="30"/>
      <c r="G51" s="31">
        <f t="shared" si="2"/>
        <v>0</v>
      </c>
    </row>
    <row r="52" spans="2:14" x14ac:dyDescent="0.25">
      <c r="B52" s="28" t="s">
        <v>53</v>
      </c>
      <c r="C52" s="28" t="s">
        <v>25</v>
      </c>
      <c r="D52" s="29"/>
      <c r="E52" s="29">
        <f t="shared" si="1"/>
        <v>0</v>
      </c>
      <c r="F52" s="30"/>
      <c r="G52" s="31">
        <f t="shared" si="2"/>
        <v>0</v>
      </c>
    </row>
    <row r="53" spans="2:14" x14ac:dyDescent="0.25">
      <c r="B53" s="32" t="s">
        <v>53</v>
      </c>
      <c r="C53" s="32" t="s">
        <v>54</v>
      </c>
      <c r="D53" s="29"/>
      <c r="E53" s="29">
        <f t="shared" si="1"/>
        <v>0</v>
      </c>
      <c r="F53" s="33"/>
      <c r="G53" s="31">
        <f t="shared" si="2"/>
        <v>0</v>
      </c>
    </row>
    <row r="54" spans="2:14" x14ac:dyDescent="0.25">
      <c r="B54" s="28" t="s">
        <v>55</v>
      </c>
      <c r="C54" s="28" t="s">
        <v>22</v>
      </c>
      <c r="D54" s="29"/>
      <c r="E54" s="29">
        <f t="shared" si="1"/>
        <v>0</v>
      </c>
      <c r="F54" s="33"/>
      <c r="G54" s="31">
        <f t="shared" si="2"/>
        <v>0</v>
      </c>
    </row>
    <row r="55" spans="2:14" x14ac:dyDescent="0.25">
      <c r="B55" s="28" t="s">
        <v>55</v>
      </c>
      <c r="C55" s="28" t="s">
        <v>23</v>
      </c>
      <c r="D55" s="29"/>
      <c r="E55" s="29">
        <f t="shared" si="1"/>
        <v>0</v>
      </c>
      <c r="F55" s="33"/>
      <c r="G55" s="31">
        <f t="shared" si="2"/>
        <v>0</v>
      </c>
    </row>
    <row r="56" spans="2:14" x14ac:dyDescent="0.25">
      <c r="B56" s="28" t="s">
        <v>56</v>
      </c>
      <c r="C56" s="28" t="s">
        <v>23</v>
      </c>
      <c r="D56" s="29"/>
      <c r="E56" s="29">
        <f t="shared" si="1"/>
        <v>0</v>
      </c>
      <c r="F56" s="33"/>
      <c r="G56" s="31">
        <f t="shared" si="2"/>
        <v>0</v>
      </c>
    </row>
    <row r="57" spans="2:14" x14ac:dyDescent="0.25">
      <c r="B57" s="32" t="s">
        <v>57</v>
      </c>
      <c r="C57" s="32" t="s">
        <v>58</v>
      </c>
      <c r="D57" s="29"/>
      <c r="E57" s="29">
        <f t="shared" si="1"/>
        <v>0</v>
      </c>
      <c r="F57" s="33"/>
      <c r="G57" s="31">
        <f t="shared" si="2"/>
        <v>0</v>
      </c>
    </row>
    <row r="58" spans="2:14" x14ac:dyDescent="0.25">
      <c r="B58" s="32" t="s">
        <v>59</v>
      </c>
      <c r="C58" s="32" t="s">
        <v>60</v>
      </c>
      <c r="D58" s="29"/>
      <c r="E58" s="29">
        <f t="shared" si="1"/>
        <v>0</v>
      </c>
      <c r="F58" s="33"/>
      <c r="G58" s="31">
        <f t="shared" si="2"/>
        <v>0</v>
      </c>
    </row>
    <row r="59" spans="2:14" x14ac:dyDescent="0.25">
      <c r="B59" s="32" t="s">
        <v>61</v>
      </c>
      <c r="C59" s="32" t="s">
        <v>58</v>
      </c>
      <c r="D59" s="29"/>
      <c r="E59" s="29">
        <f t="shared" si="1"/>
        <v>0</v>
      </c>
      <c r="F59" s="33"/>
      <c r="G59" s="31">
        <f t="shared" si="2"/>
        <v>0</v>
      </c>
      <c r="K59" s="34" t="s">
        <v>62</v>
      </c>
      <c r="L59" s="35" t="s">
        <v>63</v>
      </c>
      <c r="M59" s="35" t="s">
        <v>5</v>
      </c>
      <c r="N59" s="35" t="s">
        <v>64</v>
      </c>
    </row>
    <row r="60" spans="2:14" x14ac:dyDescent="0.25">
      <c r="B60" s="32" t="s">
        <v>65</v>
      </c>
      <c r="C60" s="32" t="s">
        <v>66</v>
      </c>
      <c r="D60" s="36"/>
      <c r="E60" s="36">
        <f t="shared" si="1"/>
        <v>0</v>
      </c>
      <c r="F60" s="33"/>
      <c r="G60" s="31">
        <f t="shared" si="2"/>
        <v>0</v>
      </c>
      <c r="K60" s="34" t="s">
        <v>67</v>
      </c>
      <c r="L60" s="35"/>
      <c r="M60" s="35"/>
      <c r="N60" s="35">
        <f>M60*L60</f>
        <v>0</v>
      </c>
    </row>
    <row r="61" spans="2:14" x14ac:dyDescent="0.25">
      <c r="B61" s="32" t="s">
        <v>68</v>
      </c>
      <c r="C61" s="32" t="s">
        <v>69</v>
      </c>
      <c r="D61" s="29"/>
      <c r="E61" s="29">
        <f t="shared" si="1"/>
        <v>0</v>
      </c>
      <c r="F61" s="30"/>
      <c r="G61" s="31">
        <f t="shared" si="2"/>
        <v>0</v>
      </c>
      <c r="K61" s="34" t="s">
        <v>70</v>
      </c>
      <c r="L61" s="35"/>
      <c r="M61" s="35"/>
      <c r="N61" s="35">
        <f t="shared" ref="N61:N65" si="4">M61*L61</f>
        <v>0</v>
      </c>
    </row>
    <row r="62" spans="2:14" x14ac:dyDescent="0.25">
      <c r="B62" s="32" t="s">
        <v>71</v>
      </c>
      <c r="C62" s="32" t="s">
        <v>72</v>
      </c>
      <c r="D62" s="29"/>
      <c r="E62" s="29">
        <f t="shared" si="1"/>
        <v>0</v>
      </c>
      <c r="F62" s="30"/>
      <c r="G62" s="31">
        <f t="shared" si="2"/>
        <v>0</v>
      </c>
      <c r="K62" s="34" t="s">
        <v>73</v>
      </c>
      <c r="L62" s="35"/>
      <c r="M62" s="35"/>
      <c r="N62" s="35">
        <f t="shared" si="4"/>
        <v>0</v>
      </c>
    </row>
    <row r="63" spans="2:14" x14ac:dyDescent="0.25">
      <c r="B63" s="32" t="s">
        <v>74</v>
      </c>
      <c r="C63" s="32" t="s">
        <v>75</v>
      </c>
      <c r="D63" s="29"/>
      <c r="E63" s="29">
        <f t="shared" si="1"/>
        <v>0</v>
      </c>
      <c r="F63" s="30"/>
      <c r="G63" s="31">
        <f t="shared" si="2"/>
        <v>0</v>
      </c>
      <c r="K63" s="34" t="s">
        <v>76</v>
      </c>
      <c r="L63" s="35"/>
      <c r="M63" s="35"/>
      <c r="N63" s="35">
        <f t="shared" si="4"/>
        <v>0</v>
      </c>
    </row>
    <row r="64" spans="2:14" x14ac:dyDescent="0.25">
      <c r="B64" s="32" t="s">
        <v>77</v>
      </c>
      <c r="C64" s="32" t="s">
        <v>23</v>
      </c>
      <c r="D64" s="29"/>
      <c r="E64" s="29">
        <f t="shared" si="1"/>
        <v>0</v>
      </c>
      <c r="F64" s="30"/>
      <c r="G64" s="31">
        <f t="shared" si="2"/>
        <v>0</v>
      </c>
      <c r="K64" s="34" t="s">
        <v>78</v>
      </c>
      <c r="L64" s="35"/>
      <c r="M64" s="35"/>
      <c r="N64" s="35">
        <f t="shared" si="4"/>
        <v>0</v>
      </c>
    </row>
    <row r="65" spans="2:14" x14ac:dyDescent="0.25">
      <c r="B65" s="32" t="s">
        <v>79</v>
      </c>
      <c r="C65" s="32" t="s">
        <v>23</v>
      </c>
      <c r="D65" s="29"/>
      <c r="E65" s="29">
        <f t="shared" si="1"/>
        <v>0</v>
      </c>
      <c r="F65" s="30"/>
      <c r="G65" s="31">
        <f t="shared" si="2"/>
        <v>0</v>
      </c>
      <c r="K65" s="34" t="s">
        <v>80</v>
      </c>
      <c r="L65" s="35"/>
      <c r="M65" s="35"/>
      <c r="N65" s="35">
        <f t="shared" si="4"/>
        <v>0</v>
      </c>
    </row>
    <row r="66" spans="2:14" x14ac:dyDescent="0.25">
      <c r="B66" s="32" t="s">
        <v>81</v>
      </c>
      <c r="C66" s="32" t="s">
        <v>23</v>
      </c>
      <c r="D66" s="29"/>
      <c r="E66" s="29">
        <f t="shared" si="1"/>
        <v>0</v>
      </c>
      <c r="F66" s="30"/>
      <c r="G66" s="31">
        <f t="shared" si="2"/>
        <v>0</v>
      </c>
      <c r="M66" s="37" t="s">
        <v>82</v>
      </c>
      <c r="N66" s="37">
        <f>SUM(N60:N65)</f>
        <v>0</v>
      </c>
    </row>
    <row r="67" spans="2:14" x14ac:dyDescent="0.25">
      <c r="B67" s="28" t="s">
        <v>83</v>
      </c>
      <c r="C67" s="28" t="s">
        <v>23</v>
      </c>
      <c r="D67" s="29"/>
      <c r="E67" s="29">
        <f t="shared" si="1"/>
        <v>0</v>
      </c>
      <c r="F67" s="38"/>
      <c r="G67" s="31">
        <f t="shared" si="2"/>
        <v>0</v>
      </c>
    </row>
    <row r="68" spans="2:14" x14ac:dyDescent="0.25">
      <c r="B68" s="28" t="s">
        <v>84</v>
      </c>
      <c r="C68" s="28" t="s">
        <v>85</v>
      </c>
      <c r="D68" s="29"/>
      <c r="E68" s="29">
        <f t="shared" si="1"/>
        <v>0</v>
      </c>
      <c r="F68" s="30"/>
      <c r="G68" s="31">
        <f t="shared" si="2"/>
        <v>0</v>
      </c>
      <c r="K68" s="34" t="s">
        <v>86</v>
      </c>
      <c r="L68" s="35" t="s">
        <v>63</v>
      </c>
      <c r="M68" s="35" t="s">
        <v>5</v>
      </c>
      <c r="N68" s="35" t="s">
        <v>64</v>
      </c>
    </row>
    <row r="69" spans="2:14" ht="15.75" thickBot="1" x14ac:dyDescent="0.3">
      <c r="B69" s="39" t="s">
        <v>87</v>
      </c>
      <c r="C69" s="39" t="s">
        <v>85</v>
      </c>
      <c r="D69" s="40"/>
      <c r="E69" s="40">
        <f t="shared" si="1"/>
        <v>0</v>
      </c>
      <c r="F69" s="41"/>
      <c r="G69" s="31">
        <f t="shared" si="2"/>
        <v>0</v>
      </c>
      <c r="K69" s="34" t="s">
        <v>88</v>
      </c>
      <c r="L69" s="35"/>
      <c r="M69" s="35"/>
      <c r="N69" s="35">
        <f t="shared" ref="N69:N70" si="5">M69*L69</f>
        <v>0</v>
      </c>
    </row>
    <row r="70" spans="2:14" ht="15.75" thickBot="1" x14ac:dyDescent="0.3">
      <c r="B70" s="42"/>
      <c r="C70" s="43"/>
      <c r="D70" s="44">
        <f>SUM(D15:D69)</f>
        <v>0</v>
      </c>
      <c r="E70" s="44">
        <f>SUM(E15:E61)</f>
        <v>0</v>
      </c>
      <c r="G70" s="45">
        <f>SUM(G15:G69)</f>
        <v>0</v>
      </c>
      <c r="K70" s="34" t="s">
        <v>89</v>
      </c>
      <c r="L70" s="35"/>
      <c r="M70" s="35"/>
      <c r="N70" s="35">
        <f t="shared" si="5"/>
        <v>0</v>
      </c>
    </row>
    <row r="71" spans="2:14" ht="15.75" thickBot="1" x14ac:dyDescent="0.3">
      <c r="B71" s="42"/>
      <c r="C71" s="42"/>
      <c r="D71" s="42"/>
      <c r="E71" s="42"/>
      <c r="F71" s="43"/>
      <c r="G71" s="46"/>
      <c r="M71" s="37" t="s">
        <v>82</v>
      </c>
      <c r="N71" s="37">
        <f>SUM(N69:N70)</f>
        <v>0</v>
      </c>
    </row>
    <row r="72" spans="2:14" ht="16.5" thickBot="1" x14ac:dyDescent="0.3">
      <c r="B72" s="47" t="s">
        <v>90</v>
      </c>
      <c r="C72" s="48"/>
      <c r="D72" s="48"/>
      <c r="E72" s="48"/>
      <c r="F72" s="48"/>
      <c r="G72" s="49"/>
    </row>
    <row r="73" spans="2:14" ht="15.75" thickBot="1" x14ac:dyDescent="0.3">
      <c r="B73" s="6" t="s">
        <v>2</v>
      </c>
      <c r="C73" s="7"/>
      <c r="D73" s="7" t="s">
        <v>3</v>
      </c>
      <c r="E73" s="7" t="s">
        <v>4</v>
      </c>
      <c r="F73" s="7" t="s">
        <v>5</v>
      </c>
      <c r="G73" s="8" t="s">
        <v>6</v>
      </c>
    </row>
    <row r="74" spans="2:14" x14ac:dyDescent="0.25">
      <c r="B74" s="9" t="s">
        <v>91</v>
      </c>
      <c r="C74" s="10"/>
      <c r="D74" s="10"/>
      <c r="E74" s="10"/>
      <c r="F74" s="10"/>
      <c r="G74" s="11">
        <f>F74*E74</f>
        <v>0</v>
      </c>
      <c r="K74" s="34" t="s">
        <v>92</v>
      </c>
      <c r="L74" s="35" t="s">
        <v>63</v>
      </c>
      <c r="M74" s="35" t="s">
        <v>5</v>
      </c>
      <c r="N74" s="35" t="s">
        <v>64</v>
      </c>
    </row>
    <row r="75" spans="2:14" x14ac:dyDescent="0.25">
      <c r="B75" s="50" t="s">
        <v>93</v>
      </c>
      <c r="C75" s="51"/>
      <c r="D75" s="51"/>
      <c r="E75" s="51"/>
      <c r="F75" s="51"/>
      <c r="G75" s="52">
        <f>F75*E75</f>
        <v>0</v>
      </c>
      <c r="K75" s="34" t="s">
        <v>94</v>
      </c>
      <c r="L75" s="35"/>
      <c r="M75" s="35"/>
      <c r="N75" s="35">
        <f>M75*L75</f>
        <v>0</v>
      </c>
    </row>
    <row r="76" spans="2:14" x14ac:dyDescent="0.25">
      <c r="B76" s="12" t="s">
        <v>95</v>
      </c>
      <c r="C76" s="13"/>
      <c r="D76" s="13"/>
      <c r="E76" s="13"/>
      <c r="F76" s="13"/>
      <c r="G76" s="14">
        <f>F76*E76</f>
        <v>0</v>
      </c>
      <c r="K76" s="34" t="s">
        <v>96</v>
      </c>
      <c r="L76" s="35"/>
      <c r="M76" s="35"/>
      <c r="N76" s="35">
        <f t="shared" ref="N76:N78" si="6">M76*L76</f>
        <v>0</v>
      </c>
    </row>
    <row r="77" spans="2:14" x14ac:dyDescent="0.25">
      <c r="B77" s="12" t="s">
        <v>97</v>
      </c>
      <c r="C77" s="13"/>
      <c r="D77" s="13"/>
      <c r="E77" s="13"/>
      <c r="F77" s="13"/>
      <c r="G77" s="14">
        <f t="shared" ref="G77:G89" si="7">F77*E77</f>
        <v>0</v>
      </c>
      <c r="K77" s="34" t="s">
        <v>98</v>
      </c>
      <c r="L77" s="35"/>
      <c r="M77" s="35"/>
      <c r="N77" s="35">
        <f t="shared" si="6"/>
        <v>0</v>
      </c>
    </row>
    <row r="78" spans="2:14" x14ac:dyDescent="0.25">
      <c r="B78" s="12" t="s">
        <v>99</v>
      </c>
      <c r="C78" s="13"/>
      <c r="D78" s="13"/>
      <c r="E78" s="13"/>
      <c r="F78" s="13"/>
      <c r="G78" s="14">
        <f t="shared" si="7"/>
        <v>0</v>
      </c>
      <c r="K78" s="34" t="s">
        <v>100</v>
      </c>
      <c r="L78" s="35"/>
      <c r="M78" s="35"/>
      <c r="N78" s="35">
        <f t="shared" si="6"/>
        <v>0</v>
      </c>
    </row>
    <row r="79" spans="2:14" x14ac:dyDescent="0.25">
      <c r="B79" s="12" t="s">
        <v>101</v>
      </c>
      <c r="C79" s="13"/>
      <c r="D79" s="13"/>
      <c r="E79" s="13"/>
      <c r="F79" s="13"/>
      <c r="G79" s="14">
        <f t="shared" si="7"/>
        <v>0</v>
      </c>
      <c r="M79" s="37" t="s">
        <v>82</v>
      </c>
      <c r="N79" s="37">
        <f>SUM(N75:N78)</f>
        <v>0</v>
      </c>
    </row>
    <row r="80" spans="2:14" x14ac:dyDescent="0.25">
      <c r="B80" s="12" t="s">
        <v>102</v>
      </c>
      <c r="C80" s="13"/>
      <c r="D80" s="13"/>
      <c r="E80" s="13"/>
      <c r="F80" s="13"/>
      <c r="G80" s="14">
        <f t="shared" si="7"/>
        <v>0</v>
      </c>
    </row>
    <row r="81" spans="2:14" x14ac:dyDescent="0.25">
      <c r="B81" s="12" t="s">
        <v>103</v>
      </c>
      <c r="C81" s="13"/>
      <c r="D81" s="13"/>
      <c r="E81" s="13"/>
      <c r="F81" s="13"/>
      <c r="G81" s="14">
        <f t="shared" si="7"/>
        <v>0</v>
      </c>
      <c r="K81" s="34" t="s">
        <v>104</v>
      </c>
      <c r="L81" s="35" t="s">
        <v>105</v>
      </c>
      <c r="M81" s="35" t="s">
        <v>5</v>
      </c>
      <c r="N81" s="35" t="s">
        <v>64</v>
      </c>
    </row>
    <row r="82" spans="2:14" x14ac:dyDescent="0.25">
      <c r="B82" s="12" t="s">
        <v>106</v>
      </c>
      <c r="C82" s="13"/>
      <c r="D82" s="13"/>
      <c r="E82" s="13"/>
      <c r="F82" s="13"/>
      <c r="G82" s="14">
        <f t="shared" si="7"/>
        <v>0</v>
      </c>
      <c r="K82" s="34" t="s">
        <v>102</v>
      </c>
      <c r="L82" s="35"/>
      <c r="M82" s="35"/>
      <c r="N82" s="35">
        <f>M82*L82</f>
        <v>0</v>
      </c>
    </row>
    <row r="83" spans="2:14" x14ac:dyDescent="0.25">
      <c r="B83" s="12" t="s">
        <v>107</v>
      </c>
      <c r="C83" s="13"/>
      <c r="D83" s="13"/>
      <c r="E83" s="13"/>
      <c r="F83" s="13"/>
      <c r="G83" s="14">
        <f t="shared" si="7"/>
        <v>0</v>
      </c>
      <c r="K83" s="34" t="s">
        <v>108</v>
      </c>
      <c r="L83" s="35"/>
      <c r="M83" s="35"/>
      <c r="N83" s="35">
        <f t="shared" ref="N83:N84" si="8">M83*L83</f>
        <v>0</v>
      </c>
    </row>
    <row r="84" spans="2:14" x14ac:dyDescent="0.25">
      <c r="B84" s="12" t="s">
        <v>109</v>
      </c>
      <c r="C84" s="13"/>
      <c r="D84" s="13"/>
      <c r="E84" s="13"/>
      <c r="F84" s="13"/>
      <c r="G84" s="14">
        <f t="shared" si="7"/>
        <v>0</v>
      </c>
      <c r="K84" s="34" t="s">
        <v>110</v>
      </c>
      <c r="L84" s="35"/>
      <c r="M84" s="35"/>
      <c r="N84" s="35">
        <f t="shared" si="8"/>
        <v>0</v>
      </c>
    </row>
    <row r="85" spans="2:14" x14ac:dyDescent="0.25">
      <c r="B85" s="12" t="s">
        <v>111</v>
      </c>
      <c r="C85" s="13"/>
      <c r="D85" s="13"/>
      <c r="E85" s="13"/>
      <c r="F85" s="13"/>
      <c r="G85" s="14">
        <f t="shared" si="7"/>
        <v>0</v>
      </c>
      <c r="M85" s="37" t="s">
        <v>82</v>
      </c>
      <c r="N85" s="37">
        <f>SUM(N82:N84)</f>
        <v>0</v>
      </c>
    </row>
    <row r="86" spans="2:14" x14ac:dyDescent="0.25">
      <c r="B86" s="15" t="s">
        <v>112</v>
      </c>
      <c r="C86" s="16"/>
      <c r="D86" s="16"/>
      <c r="E86" s="16"/>
      <c r="F86" s="16"/>
      <c r="G86" s="14">
        <f t="shared" si="7"/>
        <v>0</v>
      </c>
    </row>
    <row r="87" spans="2:14" x14ac:dyDescent="0.25">
      <c r="B87" s="15" t="s">
        <v>113</v>
      </c>
      <c r="C87" s="16"/>
      <c r="D87" s="16"/>
      <c r="E87" s="16"/>
      <c r="F87" s="16"/>
      <c r="G87" s="14">
        <f t="shared" si="7"/>
        <v>0</v>
      </c>
      <c r="K87" s="34" t="s">
        <v>106</v>
      </c>
      <c r="L87" s="35" t="s">
        <v>114</v>
      </c>
      <c r="M87" s="35" t="s">
        <v>5</v>
      </c>
      <c r="N87" s="35" t="s">
        <v>64</v>
      </c>
    </row>
    <row r="88" spans="2:14" x14ac:dyDescent="0.25">
      <c r="B88" s="15" t="s">
        <v>115</v>
      </c>
      <c r="C88" s="16"/>
      <c r="D88" s="16"/>
      <c r="E88" s="16"/>
      <c r="F88" s="16"/>
      <c r="G88" s="14">
        <f t="shared" si="7"/>
        <v>0</v>
      </c>
      <c r="K88" s="34" t="s">
        <v>116</v>
      </c>
      <c r="L88" s="35"/>
      <c r="M88" s="35"/>
      <c r="N88" s="35">
        <f>M88*L88</f>
        <v>0</v>
      </c>
    </row>
    <row r="89" spans="2:14" ht="15.75" thickBot="1" x14ac:dyDescent="0.3">
      <c r="B89" s="17" t="s">
        <v>117</v>
      </c>
      <c r="C89" s="19"/>
      <c r="D89" s="19"/>
      <c r="E89" s="19"/>
      <c r="F89" s="19"/>
      <c r="G89" s="14">
        <f t="shared" si="7"/>
        <v>0</v>
      </c>
      <c r="K89" s="34" t="s">
        <v>118</v>
      </c>
      <c r="L89" s="35"/>
      <c r="M89" s="35"/>
      <c r="N89" s="35">
        <f>M89*L89</f>
        <v>0</v>
      </c>
    </row>
    <row r="90" spans="2:14" ht="15.75" thickBot="1" x14ac:dyDescent="0.3">
      <c r="G90" s="53">
        <f>SUM(G74:G89)</f>
        <v>0</v>
      </c>
      <c r="M90" s="37" t="s">
        <v>82</v>
      </c>
      <c r="N90" s="37">
        <f>SUM(N88:N89)</f>
        <v>0</v>
      </c>
    </row>
    <row r="91" spans="2:14" x14ac:dyDescent="0.25">
      <c r="G91" s="54"/>
    </row>
    <row r="92" spans="2:14" ht="15.75" thickBot="1" x14ac:dyDescent="0.3">
      <c r="G92" s="54"/>
      <c r="K92" s="34" t="s">
        <v>107</v>
      </c>
      <c r="L92" s="35" t="s">
        <v>63</v>
      </c>
      <c r="M92" s="35" t="s">
        <v>5</v>
      </c>
      <c r="N92" s="35" t="s">
        <v>64</v>
      </c>
    </row>
    <row r="93" spans="2:14" ht="15.75" thickBot="1" x14ac:dyDescent="0.3">
      <c r="B93" s="6" t="s">
        <v>2</v>
      </c>
      <c r="C93" s="7"/>
      <c r="D93" s="7" t="s">
        <v>17</v>
      </c>
      <c r="E93" s="7" t="s">
        <v>119</v>
      </c>
      <c r="F93" s="7" t="s">
        <v>5</v>
      </c>
      <c r="G93" s="8" t="s">
        <v>6</v>
      </c>
      <c r="K93" s="34" t="s">
        <v>120</v>
      </c>
      <c r="L93" s="35"/>
      <c r="M93" s="35"/>
      <c r="N93" s="35">
        <f>M93*L93</f>
        <v>0</v>
      </c>
    </row>
    <row r="94" spans="2:14" x14ac:dyDescent="0.25">
      <c r="B94" s="55" t="s">
        <v>121</v>
      </c>
      <c r="C94" s="56"/>
      <c r="D94" s="56" t="s">
        <v>122</v>
      </c>
      <c r="E94" s="56"/>
      <c r="F94" s="56"/>
      <c r="G94" s="57">
        <f>F94*E94</f>
        <v>0</v>
      </c>
      <c r="K94" s="34" t="s">
        <v>123</v>
      </c>
      <c r="L94" s="35"/>
      <c r="M94" s="35"/>
      <c r="N94" s="35">
        <f t="shared" ref="N94:N97" si="9">M94*L94</f>
        <v>0</v>
      </c>
    </row>
    <row r="95" spans="2:14" x14ac:dyDescent="0.25">
      <c r="B95" s="13" t="s">
        <v>124</v>
      </c>
      <c r="C95" s="13"/>
      <c r="D95" s="13" t="s">
        <v>23</v>
      </c>
      <c r="E95" s="13"/>
      <c r="F95" s="13"/>
      <c r="G95" s="57">
        <f>F95*E95</f>
        <v>0</v>
      </c>
      <c r="K95" s="34" t="s">
        <v>70</v>
      </c>
      <c r="L95" s="35"/>
      <c r="M95" s="35"/>
      <c r="N95" s="35">
        <f t="shared" si="9"/>
        <v>0</v>
      </c>
    </row>
    <row r="96" spans="2:14" x14ac:dyDescent="0.25">
      <c r="B96" s="13" t="s">
        <v>124</v>
      </c>
      <c r="C96" s="13"/>
      <c r="D96" s="13" t="s">
        <v>125</v>
      </c>
      <c r="E96" s="13"/>
      <c r="F96" s="13"/>
      <c r="G96" s="57">
        <f t="shared" ref="G96:G97" si="10">F96*E96</f>
        <v>0</v>
      </c>
      <c r="K96" s="34" t="s">
        <v>67</v>
      </c>
      <c r="L96" s="35"/>
      <c r="M96" s="35"/>
      <c r="N96" s="35">
        <f t="shared" si="9"/>
        <v>0</v>
      </c>
    </row>
    <row r="97" spans="2:14" x14ac:dyDescent="0.25">
      <c r="B97" s="13" t="s">
        <v>124</v>
      </c>
      <c r="C97" s="13"/>
      <c r="D97" s="13" t="s">
        <v>31</v>
      </c>
      <c r="E97" s="13"/>
      <c r="F97" s="13"/>
      <c r="G97" s="57">
        <f t="shared" si="10"/>
        <v>0</v>
      </c>
      <c r="K97" s="34" t="s">
        <v>76</v>
      </c>
      <c r="L97" s="35"/>
      <c r="M97" s="35"/>
      <c r="N97" s="35">
        <f t="shared" si="9"/>
        <v>0</v>
      </c>
    </row>
    <row r="98" spans="2:14" ht="15.75" thickBot="1" x14ac:dyDescent="0.3">
      <c r="B98" s="21"/>
      <c r="C98" s="21"/>
      <c r="D98" s="21"/>
      <c r="E98" s="21"/>
      <c r="F98" s="21"/>
      <c r="G98" s="58">
        <f>SUM(G94:G97)</f>
        <v>0</v>
      </c>
      <c r="M98" s="37" t="s">
        <v>82</v>
      </c>
      <c r="N98" s="37">
        <f>SUM(N93:N97)</f>
        <v>0</v>
      </c>
    </row>
    <row r="100" spans="2:14" ht="15.75" thickBot="1" x14ac:dyDescent="0.3">
      <c r="K100" s="34" t="s">
        <v>126</v>
      </c>
      <c r="L100" s="35" t="s">
        <v>63</v>
      </c>
      <c r="M100" s="35" t="s">
        <v>5</v>
      </c>
      <c r="N100" s="35" t="s">
        <v>64</v>
      </c>
    </row>
    <row r="101" spans="2:14" ht="19.5" thickBot="1" x14ac:dyDescent="0.35">
      <c r="B101" s="59" t="s">
        <v>127</v>
      </c>
      <c r="C101" s="60"/>
      <c r="D101" s="60"/>
      <c r="E101" s="60"/>
      <c r="F101" s="61"/>
      <c r="G101" s="62">
        <f>SUM(G90,G70,G11,G98)</f>
        <v>0</v>
      </c>
      <c r="K101" s="34" t="s">
        <v>128</v>
      </c>
      <c r="L101" s="35"/>
      <c r="M101" s="35"/>
      <c r="N101" s="35">
        <f>M101*L101</f>
        <v>0</v>
      </c>
    </row>
    <row r="102" spans="2:14" x14ac:dyDescent="0.25">
      <c r="K102" s="34" t="s">
        <v>129</v>
      </c>
      <c r="L102" s="35"/>
      <c r="M102" s="35"/>
      <c r="N102" s="35">
        <f>M102*L102</f>
        <v>0</v>
      </c>
    </row>
    <row r="103" spans="2:14" x14ac:dyDescent="0.25">
      <c r="K103" s="34" t="s">
        <v>73</v>
      </c>
      <c r="L103" s="35"/>
      <c r="M103" s="35"/>
      <c r="N103" s="35">
        <f t="shared" ref="N103:N108" si="11">M103*L103</f>
        <v>0</v>
      </c>
    </row>
    <row r="104" spans="2:14" x14ac:dyDescent="0.25">
      <c r="K104" s="34" t="s">
        <v>130</v>
      </c>
      <c r="L104" s="35"/>
      <c r="M104" s="35"/>
      <c r="N104" s="35">
        <f t="shared" si="11"/>
        <v>0</v>
      </c>
    </row>
    <row r="105" spans="2:14" x14ac:dyDescent="0.25">
      <c r="K105" s="34" t="s">
        <v>67</v>
      </c>
      <c r="L105" s="35"/>
      <c r="M105" s="35"/>
      <c r="N105" s="35">
        <f t="shared" si="11"/>
        <v>0</v>
      </c>
    </row>
    <row r="106" spans="2:14" x14ac:dyDescent="0.25">
      <c r="K106" s="34" t="s">
        <v>70</v>
      </c>
      <c r="L106" s="35"/>
      <c r="M106" s="35"/>
      <c r="N106" s="35">
        <f t="shared" si="11"/>
        <v>0</v>
      </c>
    </row>
    <row r="107" spans="2:14" x14ac:dyDescent="0.25">
      <c r="K107" s="34" t="s">
        <v>131</v>
      </c>
      <c r="L107" s="35"/>
      <c r="M107" s="35"/>
      <c r="N107" s="35">
        <f t="shared" si="11"/>
        <v>0</v>
      </c>
    </row>
    <row r="108" spans="2:14" x14ac:dyDescent="0.25">
      <c r="K108" s="34" t="s">
        <v>76</v>
      </c>
      <c r="L108" s="35"/>
      <c r="M108" s="35"/>
      <c r="N108" s="35">
        <f t="shared" si="11"/>
        <v>0</v>
      </c>
    </row>
    <row r="109" spans="2:14" x14ac:dyDescent="0.25">
      <c r="M109" s="37" t="s">
        <v>82</v>
      </c>
      <c r="N109" s="37">
        <f>SUM(N101:N108)</f>
        <v>0</v>
      </c>
    </row>
    <row r="111" spans="2:14" x14ac:dyDescent="0.25">
      <c r="K111" s="34" t="s">
        <v>132</v>
      </c>
      <c r="L111" s="35" t="s">
        <v>133</v>
      </c>
      <c r="M111" s="35" t="s">
        <v>5</v>
      </c>
      <c r="N111" s="35" t="s">
        <v>64</v>
      </c>
    </row>
    <row r="112" spans="2:14" x14ac:dyDescent="0.25">
      <c r="K112" s="34" t="s">
        <v>134</v>
      </c>
      <c r="L112" s="35"/>
      <c r="M112" s="35"/>
      <c r="N112" s="35">
        <f>M112*L112</f>
        <v>0</v>
      </c>
    </row>
    <row r="113" spans="11:14" x14ac:dyDescent="0.25">
      <c r="K113" s="34" t="s">
        <v>135</v>
      </c>
      <c r="L113" s="35"/>
      <c r="M113" s="35"/>
      <c r="N113" s="35">
        <f t="shared" ref="N113:N116" si="12">M113*L113</f>
        <v>0</v>
      </c>
    </row>
    <row r="114" spans="11:14" x14ac:dyDescent="0.25">
      <c r="K114" s="34" t="s">
        <v>136</v>
      </c>
      <c r="L114" s="35"/>
      <c r="M114" s="35"/>
      <c r="N114" s="35">
        <f t="shared" si="12"/>
        <v>0</v>
      </c>
    </row>
    <row r="115" spans="11:14" x14ac:dyDescent="0.25">
      <c r="K115" s="34" t="s">
        <v>137</v>
      </c>
      <c r="L115" s="35"/>
      <c r="M115" s="35"/>
      <c r="N115" s="35">
        <f t="shared" si="12"/>
        <v>0</v>
      </c>
    </row>
    <row r="116" spans="11:14" x14ac:dyDescent="0.25">
      <c r="K116" s="34" t="s">
        <v>138</v>
      </c>
      <c r="L116" s="35"/>
      <c r="M116" s="35"/>
      <c r="N116" s="35">
        <f t="shared" si="12"/>
        <v>0</v>
      </c>
    </row>
    <row r="117" spans="11:14" x14ac:dyDescent="0.25">
      <c r="M117" s="37" t="s">
        <v>82</v>
      </c>
      <c r="N117" s="37">
        <f>SUM(N112:N116)</f>
        <v>0</v>
      </c>
    </row>
  </sheetData>
  <mergeCells count="4">
    <mergeCell ref="B2:F2"/>
    <mergeCell ref="B13:F13"/>
    <mergeCell ref="B72:G72"/>
    <mergeCell ref="B101:F10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Receivables</vt:lpstr>
      <vt:lpstr>Vendor Balances</vt:lpstr>
      <vt:lpstr>Machines and Molds</vt:lpstr>
      <vt:lpstr>Stock 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Industries</dc:creator>
  <cp:lastModifiedBy>Mark Industries</cp:lastModifiedBy>
  <dcterms:created xsi:type="dcterms:W3CDTF">2025-02-03T14:15:57Z</dcterms:created>
  <dcterms:modified xsi:type="dcterms:W3CDTF">2025-02-03T14:20:40Z</dcterms:modified>
</cp:coreProperties>
</file>